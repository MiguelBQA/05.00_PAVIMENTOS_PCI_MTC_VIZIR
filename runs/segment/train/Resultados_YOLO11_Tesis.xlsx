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3"/>
  <workbookPr/>
  <mc:AlternateContent xmlns:mc="http://schemas.openxmlformats.org/markup-compatibility/2006">
    <mc:Choice Requires="x15">
      <x15ac:absPath xmlns:x15ac="http://schemas.microsoft.com/office/spreadsheetml/2010/11/ac" url="C:\Users\mglxd\Downloads\"/>
    </mc:Choice>
  </mc:AlternateContent>
  <xr:revisionPtr revIDLastSave="0" documentId="13_ncr:1_{710DE4FF-303E-4A8A-A0FA-6FC9903B3F29}" xr6:coauthVersionLast="47" xr6:coauthVersionMax="47" xr10:uidLastSave="{00000000-0000-0000-0000-000000000000}"/>
  <bookViews>
    <workbookView xWindow="-105" yWindow="0" windowWidth="21555" windowHeight="20985" xr2:uid="{00000000-000D-0000-FFFF-FFFF00000000}"/>
  </bookViews>
  <sheets>
    <sheet name="Resumen Ejecutivo" sheetId="1" r:id="rId1"/>
    <sheet name="Curvas de Entrenamiento" sheetId="2" r:id="rId2"/>
    <sheet name="Métricas por Clase" sheetId="3" r:id="rId3"/>
    <sheet name="Matriz de Confusión" sheetId="4" r:id="rId4"/>
    <sheet name="Curvas F1 y PR" sheetId="5" r:id="rId5"/>
    <sheet name="Redacción para Tesi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5" l="1"/>
  <c r="D23" i="5"/>
  <c r="F22" i="5"/>
  <c r="D22" i="5"/>
  <c r="F21" i="5"/>
  <c r="D21" i="5"/>
  <c r="F20" i="5"/>
  <c r="D20" i="5"/>
  <c r="F19" i="5"/>
  <c r="D19" i="5"/>
  <c r="C17" i="3"/>
  <c r="B17" i="3"/>
  <c r="E16" i="3"/>
  <c r="E15" i="3"/>
  <c r="E14" i="3"/>
  <c r="E13" i="3"/>
  <c r="D9" i="3"/>
  <c r="C9" i="3"/>
  <c r="B9" i="3"/>
  <c r="E8" i="3"/>
  <c r="E7" i="3"/>
  <c r="E6" i="3"/>
  <c r="E5" i="3"/>
  <c r="B31" i="1"/>
  <c r="C22" i="1"/>
  <c r="B22" i="1"/>
  <c r="C30" i="1" l="1"/>
  <c r="C29" i="1"/>
  <c r="C28" i="1"/>
  <c r="C27" i="1"/>
</calcChain>
</file>

<file path=xl/sharedStrings.xml><?xml version="1.0" encoding="utf-8"?>
<sst xmlns="http://schemas.openxmlformats.org/spreadsheetml/2006/main" count="203" uniqueCount="157">
  <si>
    <t>RESULTADOS DEL MODELO YOLO11 SEGMENTACIÓN — CARRETERA YUNGUYO-COPANI 2025</t>
  </si>
  <si>
    <t>Universidad Nacional del Altiplano — Tesis de Ingeniería Civil</t>
  </si>
  <si>
    <t>MÉTRICAS GLOBALES DEL MODELO (Mejor Época)</t>
  </si>
  <si>
    <t>Métrica</t>
  </si>
  <si>
    <t>Box (Detección)</t>
  </si>
  <si>
    <t>Mask (Segmentación)</t>
  </si>
  <si>
    <t>Observación</t>
  </si>
  <si>
    <t>mAP@0.5</t>
  </si>
  <si>
    <t>Métrica principal — promedio de precisión media a IoU=0.5</t>
  </si>
  <si>
    <t>mAP@0.5:0.95</t>
  </si>
  <si>
    <t>Métrica estricta (promedio IoU 0.5→0.95)</t>
  </si>
  <si>
    <t>Precisión (P)</t>
  </si>
  <si>
    <t>Fracción de detecciones positivas correctas</t>
  </si>
  <si>
    <t>Recall (R)</t>
  </si>
  <si>
    <t>Fracción de instancias reales detectadas</t>
  </si>
  <si>
    <t>F1 Score (óptimo)</t>
  </si>
  <si>
    <t>Balance P-R; máximo en conf=0.356 (Box) / 0.366 (Mask)</t>
  </si>
  <si>
    <t>Umbral óptimo (conf)</t>
  </si>
  <si>
    <t>Valor de confianza donde F1 es máximo</t>
  </si>
  <si>
    <t>Recall máx (conf=0)</t>
  </si>
  <si>
    <t>Recall máximo teórico sin umbral de confianza</t>
  </si>
  <si>
    <t>Épocas entrenadas</t>
  </si>
  <si>
    <t>Total de épocas completadas sin sobreajuste</t>
  </si>
  <si>
    <t>DESEMPEÑO POR CLASE — SEGMENTACIÓN (Mask PR Curve)</t>
  </si>
  <si>
    <t>Clase</t>
  </si>
  <si>
    <t>AP@0.5 (Mask)</t>
  </si>
  <si>
    <t>N° Instancias Dataset</t>
  </si>
  <si>
    <t>Interpretación</t>
  </si>
  <si>
    <t>BACHE (Huecos)</t>
  </si>
  <si>
    <t>Mejor desempeño — morfología compacta y diferenciable</t>
  </si>
  <si>
    <t>PIEL DE COCODRILO</t>
  </si>
  <si>
    <t>Desempeño moderado — patrón reticulado reconocible</t>
  </si>
  <si>
    <t>PARCHE</t>
  </si>
  <si>
    <t>Bajo — pocas instancias en dataset (clase minoritaria)</t>
  </si>
  <si>
    <t>GRIETA (Long./Trans.)</t>
  </si>
  <si>
    <t>Más bajo — geometría lineal delgada difícil de segmentar</t>
  </si>
  <si>
    <t>PROMEDIO (mAP)</t>
  </si>
  <si>
    <t>Media aritmética de las 4 clases</t>
  </si>
  <si>
    <t>ANÁLISIS DE BALANCE DEL DATASET</t>
  </si>
  <si>
    <t>Instancias</t>
  </si>
  <si>
    <t>% del Total</t>
  </si>
  <si>
    <t>Estado</t>
  </si>
  <si>
    <t>GRIETA</t>
  </si>
  <si>
    <t>Dominante — 58% del dataset</t>
  </si>
  <si>
    <t>Moderado</t>
  </si>
  <si>
    <t>BACHE</t>
  </si>
  <si>
    <t>Subrepresentado</t>
  </si>
  <si>
    <t>Clase minoritaria — mayor riesgo de bajo desempeño</t>
  </si>
  <si>
    <t>TOTAL</t>
  </si>
  <si>
    <t>NOTA PARA LA TESIS (APA 7ª edición)</t>
  </si>
  <si>
    <t>Nota. El modelo YOLO11 Segmentación fue entrenado durante 277 épocas sobre un dataset de 3,257 instancias distribuidas en cuatro clases de deterioro superficial. Se obtuvo un mAP@0.5 de 0.402 para segmentación de instancias (Mask). La clase BACHE presentó el mayor AP individual (0.710), mientras que GRIETA y PARCHE mostraron los valores más bajos (0.233 y 0.262 respectivamente), atribuibles al desbalance del dataset y a la complejidad geométrica de dichos deterioros. Elaboración propia.</t>
  </si>
  <si>
    <t>CURVAS DE ENTRENAMIENTO — YOLO11 SEGMENTACIÓN (277 Épocas)</t>
  </si>
  <si>
    <t>Época</t>
  </si>
  <si>
    <t>Loss Caja (Train)</t>
  </si>
  <si>
    <t>Loss Seg. (Train)</t>
  </si>
  <si>
    <t>Loss Clase (Train)</t>
  </si>
  <si>
    <t>Loss Caja (Val)</t>
  </si>
  <si>
    <t>Loss Seg. (Val)</t>
  </si>
  <si>
    <t>Loss Clase (Val)</t>
  </si>
  <si>
    <t>mAP@0.5 Box</t>
  </si>
  <si>
    <t>mAP@0.5:0.95 Box</t>
  </si>
  <si>
    <t>mAP@0.5 Mask</t>
  </si>
  <si>
    <t>mAP@0.5:0.95 Mask</t>
  </si>
  <si>
    <t>Precisión Box</t>
  </si>
  <si>
    <t>Recall Box</t>
  </si>
  <si>
    <t>Precisión Mask</t>
  </si>
  <si>
    <t>Recall Mask</t>
  </si>
  <si>
    <t>MÉTRICAS DE DETECCIÓN Y SEGMENTACIÓN POR CLASE — YOLO11</t>
  </si>
  <si>
    <t>DETECCIÓN (Bounding Box)</t>
  </si>
  <si>
    <t>AP@0.5 (Box)</t>
  </si>
  <si>
    <t>AP@0.5:0.95 (Box)</t>
  </si>
  <si>
    <t>N° Instancias</t>
  </si>
  <si>
    <t>% Dataset</t>
  </si>
  <si>
    <t>Descripción del deterioro</t>
  </si>
  <si>
    <t>BUENO</t>
  </si>
  <si>
    <t>Huecos o depresiones en la superficie del pavimento</t>
  </si>
  <si>
    <t>MODERADO</t>
  </si>
  <si>
    <t>Red de grietas interconectadas por fatiga estructural</t>
  </si>
  <si>
    <t>BAJO</t>
  </si>
  <si>
    <t>Fisuras longitudinales y transversales</t>
  </si>
  <si>
    <t>Áreas reparadas con material diferente al original</t>
  </si>
  <si>
    <t>PROMEDIO (mAP Box)</t>
  </si>
  <si>
    <t>SEGMENTACIÓN (Instance Mask) — MÉTRICA PRINCIPAL PARA TESIS</t>
  </si>
  <si>
    <t>AP@0.5 (Mask) ★</t>
  </si>
  <si>
    <t>AP@0.5:0.95 (Mask)</t>
  </si>
  <si>
    <t>Comentario para tesis</t>
  </si>
  <si>
    <t>Alta precisión. Morfología compacta y textura diferenciada facilitan la segmentación.</t>
  </si>
  <si>
    <t>Moderado. Patrón reticulado con variabilidad en severidad dificulta la delimitación.</t>
  </si>
  <si>
    <t>Bajo. Clase minoritaria (4.9% del dataset). Requiere mayor augmentación de datos.</t>
  </si>
  <si>
    <t>Más bajo a pesar de tener más instancias. Geometría lineal delgada y variabilidad morfológica.</t>
  </si>
  <si>
    <t>PROMEDIO (mAP Mask)</t>
  </si>
  <si>
    <t>MATRIZ DE CONFUSIÓN NORMALIZADA — YOLO11 SEGMENTACIÓN</t>
  </si>
  <si>
    <t>Lectura: Filas = Predicción / Columnas = Real (Ground Truth)</t>
  </si>
  <si>
    <t>Predicho \ Real</t>
  </si>
  <si>
    <t>BACHE (Real)</t>
  </si>
  <si>
    <t>GRIETA (Real)</t>
  </si>
  <si>
    <t>PARCHE (Real)</t>
  </si>
  <si>
    <t>P.COCODRILO (Real)</t>
  </si>
  <si>
    <t>Background (Real)</t>
  </si>
  <si>
    <t>BACHE (Pred.)</t>
  </si>
  <si>
    <t>GRIETA (Pred.)</t>
  </si>
  <si>
    <t>PARCHE (Pred.)</t>
  </si>
  <si>
    <t>P.COCODRILO (Pred.)</t>
  </si>
  <si>
    <t>Background (Pred.)</t>
  </si>
  <si>
    <t>VALORES ABSOLUTOS (Conteo de instancias)</t>
  </si>
  <si>
    <t>ANÁLISIS DE LA DIAGONAL (Tasa de Clasificación Correcta)</t>
  </si>
  <si>
    <t>Tasa Correcta</t>
  </si>
  <si>
    <t>Error → Background</t>
  </si>
  <si>
    <t>Error Principal</t>
  </si>
  <si>
    <t>Implicación en Pavimentos</t>
  </si>
  <si>
    <t>7% confundido con PARCHE</t>
  </si>
  <si>
    <t>Alto recall. Poca subestimación del deterioro.</t>
  </si>
  <si>
    <t>61% no detectado (background)</t>
  </si>
  <si>
    <t>Riesgo de subestimar significativamente el IRI.</t>
  </si>
  <si>
    <t>63% background + 1% como BACHE</t>
  </si>
  <si>
    <t>Baja detección; puede afectar cálculo de área parchada.</t>
  </si>
  <si>
    <t>P.COCODRILO</t>
  </si>
  <si>
    <t>30% no detectado (background)</t>
  </si>
  <si>
    <t>Moderado. Podría subestimar área de falla estructural.</t>
  </si>
  <si>
    <t>RESUMEN DE CURVAS F1, PRECISION-CONFIDENCE Y PRECISION-RECALL</t>
  </si>
  <si>
    <t>CURVA F1-CONFIDENCE — VALORES CLAVE (Mask)</t>
  </si>
  <si>
    <t>Umbral (conf)</t>
  </si>
  <si>
    <t>F1 All Classes</t>
  </si>
  <si>
    <t>F1 BACHE</t>
  </si>
  <si>
    <t>F1 GRIETA</t>
  </si>
  <si>
    <t>F1 PARCHE</t>
  </si>
  <si>
    <t>F1 P.COCODRILO</t>
  </si>
  <si>
    <t>Precisión</t>
  </si>
  <si>
    <t>Recall</t>
  </si>
  <si>
    <t>← PUNTO ÓPTIMO F1</t>
  </si>
  <si>
    <t>CURVA PRECISION-RECALL — ÁREA BAJO LA CURVA (AP@0.5 por Clase, Mask)</t>
  </si>
  <si>
    <t>Diferencia (M-B)</t>
  </si>
  <si>
    <t>N Instancias</t>
  </si>
  <si>
    <t>AP Relativo al máx</t>
  </si>
  <si>
    <t>Ranking</t>
  </si>
  <si>
    <t>Mejor clase — objeto compacto</t>
  </si>
  <si>
    <t>Moderado — variabilidad de severidad</t>
  </si>
  <si>
    <t>Bajo — clase minoritaria</t>
  </si>
  <si>
    <t>Más bajo — geometría lineal compleja</t>
  </si>
  <si>
    <t>mAP GLOBAL</t>
  </si>
  <si>
    <t>—</t>
  </si>
  <si>
    <t>Promedio ponderado</t>
  </si>
  <si>
    <t>GUÍA DE REDACCIÓN — RESULTADOS DEL MODELO YOLO11 (APA 7ª EDICIÓN)</t>
  </si>
  <si>
    <t>ENTRENAMIENTO</t>
  </si>
  <si>
    <t>El modelo de segmentación de instancias basado en la arquitectura YOLO11 fue entrenado durante 277 épocas empleando un optimizador SGD con tasa de aprendizaje inicial de 0.01. Las pérdidas de entrenamiento y validación (box_loss, seg_loss, cls_loss y dfl_loss) presentaron una convergencia progresiva y estable, sin evidencia de sobreajuste, lo que indica una generalización adecuada del modelo ante datos no vistos.</t>
  </si>
  <si>
    <t>MÉTRICAS GLOBALES</t>
  </si>
  <si>
    <t>El modelo obtuvo un mAP@0.5 de 0.402 para segmentación de instancias (Mask) y de 0.396 para detección (Box), con un mAP@0.5:0.95 de 0.179 y 0.184 respectivamente. El F1-score máximo fue de 0.44 alcanzado con un umbral de confianza de 0.366, el cual representa el punto de equilibrio óptimo entre precisión (0.50) y recall (0.39).</t>
  </si>
  <si>
    <t>DESEMPEÑO POR CLASE</t>
  </si>
  <si>
    <t>A nivel de clase, la falla BACHE presentó el mayor AP@0.5 (0.710), atribuible a su morfología compacta y alta diferenciación visual respecto al pavimento circundante. La PIEL DE COCODRILO obtuvo un AP@0.5 de 0.402, mientras que PARCHE y GRIETA alcanzaron valores de 0.262 y 0.233 respectivamente. El bajo desempeño en GRIETA, a pesar de representar el 58.3% del dataset, se explica por su geometría lineal de reducida sección transversal, la cual dificulta su delimitación mediante máscaras de segmentación en imágenes aéreas.</t>
  </si>
  <si>
    <t>MATRIZ DE CONFUSIÓN</t>
  </si>
  <si>
    <t>El análisis de la matriz de confusión normalizada revela que la clase BACHE fue correctamente identificada en el 67% de los casos, seguida de PIEL DE COCODRILO con 53%, GRIETA con 35% y PARCHE con 29%. El error más frecuente corresponde a la clasificación de instancias de GRIETA como background (0.64), lo que implica una subestimación sistemática de este tipo de deterioro, con potencial impacto en el cálculo del índice de condición del pavimento.</t>
  </si>
  <si>
    <t>LIMITACIONES</t>
  </si>
  <si>
    <t>Las principales limitaciones identificadas en el desempeño del modelo incluyen: (a) el desbalance del dataset, donde GRIETA representa el 58.3% de las instancias frente al 4.9% de PARCHE; (b) la complejidad geométrica de las grietas longitudinales y transversales en imágenes aéreas de alta resolución; y (c) el tamaño reducido del dataset para las clases minoritarias. Se recomienda ampliar el conjunto de entrenamiento mediante técnicas de aumento de datos (data augmentation) y transferencia de aprendizaje para mejorar el mAP global en futuras investigaciones.</t>
  </si>
  <si>
    <t>COMPARACIÓN CON LITERATURA</t>
  </si>
  <si>
    <t>Los valores de mAP@0.5 obtenidos (0.396–0.402) son consistentes con investigaciones previas que aplicaron modelos YOLO a la detección de deterioros en pavimentos flexibles mediante imágenes aéreas, donde los rangos típicos oscilan entre 0.30 y 0.65 en función del tamaño del dataset, la resolución de las imágenes y la complejidad de las clases de deterioro evaluadas (Zhang et al., 2022; Maeda et al., 2021).</t>
  </si>
  <si>
    <t>UMBRAL DE CONFIANZA RECOMENDADO</t>
  </si>
  <si>
    <t>Para la evaluación automática de los índices PCI, MTC y VIZIR mediante el modelo entrenado, se establece un umbral de confianza de 0.366, correspondiente al punto de máximo F1-score (0.44). Este valor garantiza el mejor equilibrio entre la detección completa de fallas (recall = 0.39) y la reducción de falsas alarmas (precisión = 0.50), siendo adecuado para el cálculo de áreas afectadas en las unidades de muestreo evaluadas.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</si>
</sst>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20" x14ac:knownFonts="1">
    <font>
      <sz val="11"/>
      <color theme="1"/>
      <name val="Calibri"/>
      <family val="2"/>
      <scheme val="minor"/>
    </font>
    <font>
      <b/>
      <sz val="13"/>
      <color rgb="FFFFFFFF"/>
      <name val="Arial"/>
    </font>
    <font>
      <sz val="10"/>
      <color rgb="FFFFFFFF"/>
      <name val="Arial"/>
    </font>
    <font>
      <b/>
      <sz val="11"/>
      <color rgb="FFFFFFFF"/>
      <name val="Arial"/>
    </font>
    <font>
      <b/>
      <sz val="10"/>
      <color rgb="FFFFFFFF"/>
      <name val="Arial"/>
    </font>
    <font>
      <b/>
      <sz val="11"/>
      <color rgb="FF1F1F1F"/>
      <name val="Arial"/>
    </font>
    <font>
      <sz val="11"/>
      <color rgb="FF1F1F1F"/>
      <name val="Arial"/>
    </font>
    <font>
      <sz val="11"/>
      <color rgb="FF1D9E75"/>
      <name val="Arial"/>
    </font>
    <font>
      <sz val="11"/>
      <color rgb="FFBA7517"/>
      <name val="Arial"/>
    </font>
    <font>
      <sz val="11"/>
      <color rgb="FFA32D2D"/>
      <name val="Arial"/>
    </font>
    <font>
      <b/>
      <sz val="11"/>
      <color rgb="FF2E5FA3"/>
      <name val="Arial"/>
    </font>
    <font>
      <b/>
      <sz val="10"/>
      <color rgb="FF1F3864"/>
      <name val="Arial"/>
    </font>
    <font>
      <sz val="9"/>
      <color rgb="FF444444"/>
      <name val="Arial"/>
    </font>
    <font>
      <b/>
      <sz val="12"/>
      <color rgb="FFFFFFFF"/>
      <name val="Arial"/>
    </font>
    <font>
      <b/>
      <sz val="9"/>
      <color rgb="FFFFFFFF"/>
      <name val="Arial"/>
    </font>
    <font>
      <b/>
      <sz val="11"/>
      <color rgb="FF1D9E75"/>
      <name val="Arial"/>
    </font>
    <font>
      <b/>
      <sz val="11"/>
      <color rgb="FFBA7517"/>
      <name val="Arial"/>
    </font>
    <font>
      <b/>
      <sz val="11"/>
      <color rgb="FFA32D2D"/>
      <name val="Arial"/>
    </font>
    <font>
      <sz val="10"/>
      <color rgb="FF1F3864"/>
      <name val="Arial"/>
    </font>
    <font>
      <sz val="10"/>
      <color rgb="FF1F1F1F"/>
      <name val="Arial"/>
    </font>
  </fonts>
  <fills count="16">
    <fill>
      <patternFill patternType="none"/>
    </fill>
    <fill>
      <patternFill patternType="gray125"/>
    </fill>
    <fill>
      <patternFill patternType="solid">
        <fgColor rgb="FF1F3864"/>
      </patternFill>
    </fill>
    <fill>
      <patternFill patternType="solid">
        <fgColor rgb="FF2E5FA3"/>
      </patternFill>
    </fill>
    <fill>
      <patternFill patternType="solid">
        <fgColor rgb="FFFFFFFF"/>
      </patternFill>
    </fill>
    <fill>
      <patternFill patternType="solid">
        <fgColor rgb="FFF7F9FC"/>
      </patternFill>
    </fill>
    <fill>
      <patternFill patternType="solid">
        <fgColor rgb="FFE8EFF8"/>
      </patternFill>
    </fill>
    <fill>
      <patternFill patternType="solid">
        <fgColor rgb="FFDDEEFF"/>
      </patternFill>
    </fill>
    <fill>
      <patternFill patternType="solid">
        <fgColor rgb="FF1D9E75"/>
      </patternFill>
    </fill>
    <fill>
      <patternFill patternType="solid">
        <fgColor rgb="FF0F6E56"/>
      </patternFill>
    </fill>
    <fill>
      <patternFill patternType="solid">
        <fgColor rgb="FFD8F0E8"/>
      </patternFill>
    </fill>
    <fill>
      <patternFill patternType="solid">
        <fgColor rgb="FFF2F5FA"/>
      </patternFill>
    </fill>
    <fill>
      <patternFill patternType="solid">
        <fgColor rgb="FFFFF5E6"/>
      </patternFill>
    </fill>
    <fill>
      <patternFill patternType="solid">
        <fgColor rgb="FFF0F8E8"/>
      </patternFill>
    </fill>
    <fill>
      <patternFill patternType="solid">
        <fgColor rgb="FFFDECEA"/>
      </patternFill>
    </fill>
    <fill>
      <patternFill patternType="solid">
        <fgColor rgb="FFFFF8E1"/>
      </patternFill>
    </fill>
  </fills>
  <borders count="2">
    <border>
      <left/>
      <right/>
      <top/>
      <bottom/>
      <diagonal/>
    </border>
    <border>
      <left style="thin">
        <color rgb="FFC8D4E3"/>
      </left>
      <right style="thin">
        <color rgb="FFC8D4E3"/>
      </right>
      <top style="thin">
        <color rgb="FFC8D4E3"/>
      </top>
      <bottom style="thin">
        <color rgb="FFC8D4E3"/>
      </bottom>
      <diagonal/>
    </border>
  </borders>
  <cellStyleXfs count="1">
    <xf numFmtId="0" fontId="0" fillId="0" borderId="0"/>
  </cellStyleXfs>
  <cellXfs count="78">
    <xf numFmtId="0" fontId="0" fillId="0" borderId="0" xfId="0"/>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left" vertical="center" wrapText="1"/>
    </xf>
    <xf numFmtId="164" fontId="7" fillId="4" borderId="1" xfId="0" applyNumberFormat="1"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164" fontId="8" fillId="5" borderId="1" xfId="0" applyNumberFormat="1" applyFont="1" applyFill="1" applyBorder="1" applyAlignment="1">
      <alignment horizontal="center" vertical="center" wrapText="1"/>
    </xf>
    <xf numFmtId="3" fontId="6" fillId="5"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5" fillId="6" borderId="1" xfId="0" applyFont="1" applyFill="1" applyBorder="1" applyAlignment="1">
      <alignment horizontal="left" vertical="center" wrapText="1"/>
    </xf>
    <xf numFmtId="3" fontId="5" fillId="6" borderId="1" xfId="0" applyNumberFormat="1" applyFont="1" applyFill="1" applyBorder="1" applyAlignment="1">
      <alignment horizontal="center" vertical="center" wrapText="1"/>
    </xf>
    <xf numFmtId="165" fontId="6" fillId="6"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166" fontId="6" fillId="4" borderId="1" xfId="0" applyNumberFormat="1"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164" fontId="15" fillId="4" borderId="1" xfId="0" applyNumberFormat="1" applyFont="1" applyFill="1" applyBorder="1" applyAlignment="1">
      <alignment horizontal="center" vertical="center" wrapText="1"/>
    </xf>
    <xf numFmtId="165" fontId="0" fillId="4" borderId="1" xfId="0" applyNumberFormat="1" applyFill="1" applyBorder="1" applyAlignment="1">
      <alignment horizontal="center" vertical="center" wrapText="1"/>
    </xf>
    <xf numFmtId="0" fontId="15" fillId="4" borderId="1" xfId="0" applyFont="1" applyFill="1" applyBorder="1" applyAlignment="1">
      <alignment horizontal="center" vertical="center" wrapText="1"/>
    </xf>
    <xf numFmtId="164" fontId="16" fillId="5" borderId="1" xfId="0" applyNumberFormat="1" applyFont="1" applyFill="1" applyBorder="1" applyAlignment="1">
      <alignment horizontal="center" vertical="center" wrapText="1"/>
    </xf>
    <xf numFmtId="165" fontId="0" fillId="5" borderId="1" xfId="0" applyNumberFormat="1" applyFill="1" applyBorder="1" applyAlignment="1">
      <alignment horizontal="center" vertical="center" wrapText="1"/>
    </xf>
    <xf numFmtId="0" fontId="16" fillId="5" borderId="1" xfId="0" applyFont="1" applyFill="1" applyBorder="1" applyAlignment="1">
      <alignment horizontal="center" vertical="center" wrapText="1"/>
    </xf>
    <xf numFmtId="164" fontId="17" fillId="4"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164" fontId="17" fillId="5" borderId="1" xfId="0" applyNumberFormat="1" applyFont="1" applyFill="1" applyBorder="1" applyAlignment="1">
      <alignment horizontal="center" vertical="center" wrapText="1"/>
    </xf>
    <xf numFmtId="0" fontId="17" fillId="5" borderId="1" xfId="0" applyFont="1" applyFill="1" applyBorder="1" applyAlignment="1">
      <alignment horizontal="center" vertical="center" wrapText="1"/>
    </xf>
    <xf numFmtId="164" fontId="10" fillId="6" borderId="1"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164" fontId="15" fillId="10" borderId="1" xfId="0" applyNumberFormat="1"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2" fontId="15" fillId="10" borderId="1" xfId="0" applyNumberFormat="1" applyFont="1" applyFill="1" applyBorder="1" applyAlignment="1">
      <alignment horizontal="center" vertical="center" wrapText="1"/>
    </xf>
    <xf numFmtId="2" fontId="0" fillId="4" borderId="1" xfId="0" applyNumberFormat="1" applyFill="1" applyBorder="1" applyAlignment="1">
      <alignment horizontal="center" vertical="center" wrapText="1"/>
    </xf>
    <xf numFmtId="2" fontId="8" fillId="12" borderId="1" xfId="0" applyNumberFormat="1" applyFont="1" applyFill="1" applyBorder="1" applyAlignment="1">
      <alignment horizontal="center" vertical="center" wrapText="1"/>
    </xf>
    <xf numFmtId="2" fontId="0" fillId="5" borderId="1" xfId="0" applyNumberFormat="1" applyFill="1" applyBorder="1" applyAlignment="1">
      <alignment horizontal="center" vertical="center" wrapText="1"/>
    </xf>
    <xf numFmtId="2" fontId="15" fillId="13" borderId="1" xfId="0" applyNumberFormat="1" applyFont="1" applyFill="1" applyBorder="1" applyAlignment="1">
      <alignment horizontal="center" vertical="center" wrapText="1"/>
    </xf>
    <xf numFmtId="2" fontId="17" fillId="14" borderId="1" xfId="0" applyNumberFormat="1" applyFont="1" applyFill="1" applyBorder="1" applyAlignment="1">
      <alignment horizontal="center" vertical="center" wrapText="1"/>
    </xf>
    <xf numFmtId="3" fontId="15" fillId="10" borderId="1" xfId="0" applyNumberFormat="1" applyFont="1" applyFill="1" applyBorder="1" applyAlignment="1">
      <alignment horizontal="center" vertical="center" wrapText="1"/>
    </xf>
    <xf numFmtId="3" fontId="0" fillId="5" borderId="1" xfId="0" applyNumberFormat="1" applyFill="1" applyBorder="1" applyAlignment="1">
      <alignment horizontal="center" vertical="center" wrapText="1"/>
    </xf>
    <xf numFmtId="3" fontId="0" fillId="4" borderId="1" xfId="0" applyNumberFormat="1" applyFill="1" applyBorder="1" applyAlignment="1">
      <alignment horizontal="center" vertical="center" wrapText="1"/>
    </xf>
    <xf numFmtId="9" fontId="15" fillId="4"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9" fontId="16" fillId="5" borderId="1" xfId="0" applyNumberFormat="1"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9" fontId="17" fillId="4" borderId="1" xfId="0" applyNumberFormat="1" applyFont="1" applyFill="1" applyBorder="1" applyAlignment="1">
      <alignment horizontal="center" vertical="center" wrapText="1"/>
    </xf>
    <xf numFmtId="9" fontId="15" fillId="5" borderId="1" xfId="0" applyNumberFormat="1" applyFont="1" applyFill="1" applyBorder="1" applyAlignment="1">
      <alignment horizontal="center" vertical="center" wrapText="1"/>
    </xf>
    <xf numFmtId="9" fontId="8" fillId="5" borderId="1" xfId="0" applyNumberFormat="1" applyFont="1" applyFill="1" applyBorder="1" applyAlignment="1">
      <alignment horizontal="center" vertical="center" wrapText="1"/>
    </xf>
    <xf numFmtId="164" fontId="10" fillId="15" borderId="1" xfId="0" applyNumberFormat="1" applyFont="1" applyFill="1" applyBorder="1" applyAlignment="1">
      <alignment horizontal="center" vertical="center" wrapText="1"/>
    </xf>
    <xf numFmtId="164" fontId="10" fillId="15" borderId="1" xfId="0" applyNumberFormat="1"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11" fillId="7" borderId="0" xfId="0" applyFont="1" applyFill="1" applyAlignment="1">
      <alignment horizontal="left" vertical="center" wrapText="1"/>
    </xf>
    <xf numFmtId="0" fontId="3" fillId="3" borderId="0" xfId="0" applyFont="1" applyFill="1" applyAlignment="1">
      <alignment horizontal="center" vertical="center" wrapText="1"/>
    </xf>
    <xf numFmtId="0" fontId="2" fillId="3" borderId="0" xfId="0" applyFont="1" applyFill="1" applyAlignment="1">
      <alignment horizontal="center" vertical="center" wrapText="1"/>
    </xf>
    <xf numFmtId="0" fontId="12" fillId="7" borderId="0" xfId="0" applyFont="1" applyFill="1" applyAlignment="1">
      <alignment horizontal="left" vertical="top" wrapText="1"/>
    </xf>
    <xf numFmtId="0" fontId="13" fillId="2" borderId="0" xfId="0" applyFont="1" applyFill="1" applyAlignment="1">
      <alignment horizontal="center" vertical="center" wrapText="1"/>
    </xf>
    <xf numFmtId="0" fontId="3" fillId="8" borderId="0" xfId="0" applyFont="1" applyFill="1" applyAlignment="1">
      <alignment horizontal="center" vertical="center" wrapText="1"/>
    </xf>
    <xf numFmtId="0" fontId="18" fillId="7" borderId="0" xfId="0" applyFont="1" applyFill="1" applyAlignment="1">
      <alignment horizontal="center" vertical="center" wrapText="1"/>
    </xf>
    <xf numFmtId="0" fontId="19" fillId="4" borderId="1" xfId="0" applyFont="1" applyFill="1" applyBorder="1" applyAlignment="1">
      <alignment horizontal="left" vertical="top" wrapText="1"/>
    </xf>
    <xf numFmtId="0" fontId="0" fillId="11" borderId="0" xfId="0" applyFill="1"/>
    <xf numFmtId="0" fontId="19"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PE"/>
              <a:t>Pérdida de Entrenamiento vs Validación</a:t>
            </a:r>
          </a:p>
        </c:rich>
      </c:tx>
      <c:overlay val="1"/>
    </c:title>
    <c:autoTitleDeleted val="0"/>
    <c:plotArea>
      <c:layout/>
      <c:lineChart>
        <c:grouping val="standard"/>
        <c:varyColors val="1"/>
        <c:ser>
          <c:idx val="0"/>
          <c:order val="0"/>
          <c:tx>
            <c:strRef>
              <c:f>'Curvas de Entrenamiento'!$B$2</c:f>
              <c:strCache>
                <c:ptCount val="1"/>
                <c:pt idx="0">
                  <c:v>Loss Caja (Train)</c:v>
                </c:pt>
              </c:strCache>
            </c:strRef>
          </c:tx>
          <c:spPr>
            <a:ln>
              <a:prstDash val="solid"/>
            </a:ln>
          </c:spPr>
          <c:marker>
            <c:symbol val="none"/>
          </c:marker>
          <c:val>
            <c:numRef>
              <c:f>'Curvas de Entrenamiento'!$B$3:$B$59</c:f>
              <c:numCache>
                <c:formatCode>0.0000</c:formatCode>
                <c:ptCount val="57"/>
                <c:pt idx="0">
                  <c:v>2.7119</c:v>
                </c:pt>
                <c:pt idx="1">
                  <c:v>2.2909999999999999</c:v>
                </c:pt>
                <c:pt idx="2">
                  <c:v>2.1436999999999999</c:v>
                </c:pt>
                <c:pt idx="3">
                  <c:v>2.0680000000000001</c:v>
                </c:pt>
                <c:pt idx="4">
                  <c:v>2.004</c:v>
                </c:pt>
                <c:pt idx="5">
                  <c:v>1.9641</c:v>
                </c:pt>
                <c:pt idx="6">
                  <c:v>1.9032</c:v>
                </c:pt>
                <c:pt idx="7">
                  <c:v>1.8869</c:v>
                </c:pt>
                <c:pt idx="8">
                  <c:v>1.8188</c:v>
                </c:pt>
                <c:pt idx="9">
                  <c:v>1.7879</c:v>
                </c:pt>
                <c:pt idx="10">
                  <c:v>1.7850999999999999</c:v>
                </c:pt>
                <c:pt idx="11">
                  <c:v>1.7403</c:v>
                </c:pt>
                <c:pt idx="12">
                  <c:v>1.7464</c:v>
                </c:pt>
                <c:pt idx="13">
                  <c:v>1.7068000000000001</c:v>
                </c:pt>
                <c:pt idx="14">
                  <c:v>1.673</c:v>
                </c:pt>
                <c:pt idx="15">
                  <c:v>1.6915</c:v>
                </c:pt>
                <c:pt idx="16">
                  <c:v>1.6417999999999999</c:v>
                </c:pt>
                <c:pt idx="17">
                  <c:v>1.6303000000000001</c:v>
                </c:pt>
                <c:pt idx="18">
                  <c:v>1.6054999999999999</c:v>
                </c:pt>
                <c:pt idx="19">
                  <c:v>1.6113</c:v>
                </c:pt>
                <c:pt idx="20">
                  <c:v>1.5793999999999999</c:v>
                </c:pt>
                <c:pt idx="21">
                  <c:v>1.5576000000000001</c:v>
                </c:pt>
                <c:pt idx="22">
                  <c:v>1.5448999999999999</c:v>
                </c:pt>
                <c:pt idx="23">
                  <c:v>1.5373000000000001</c:v>
                </c:pt>
                <c:pt idx="24">
                  <c:v>1.5384</c:v>
                </c:pt>
                <c:pt idx="25">
                  <c:v>1.4939</c:v>
                </c:pt>
                <c:pt idx="26">
                  <c:v>1.5306999999999999</c:v>
                </c:pt>
                <c:pt idx="27">
                  <c:v>1.5245</c:v>
                </c:pt>
                <c:pt idx="28">
                  <c:v>1.4864999999999999</c:v>
                </c:pt>
                <c:pt idx="29">
                  <c:v>1.4480999999999999</c:v>
                </c:pt>
                <c:pt idx="30">
                  <c:v>1.4663999999999999</c:v>
                </c:pt>
                <c:pt idx="31">
                  <c:v>1.4572000000000001</c:v>
                </c:pt>
                <c:pt idx="32">
                  <c:v>1.4124000000000001</c:v>
                </c:pt>
                <c:pt idx="33">
                  <c:v>1.393</c:v>
                </c:pt>
                <c:pt idx="34">
                  <c:v>1.448</c:v>
                </c:pt>
                <c:pt idx="35">
                  <c:v>1.3924000000000001</c:v>
                </c:pt>
                <c:pt idx="36">
                  <c:v>1.3864000000000001</c:v>
                </c:pt>
                <c:pt idx="37">
                  <c:v>1.3742000000000001</c:v>
                </c:pt>
                <c:pt idx="38">
                  <c:v>1.3759999999999999</c:v>
                </c:pt>
                <c:pt idx="39">
                  <c:v>1.3574999999999999</c:v>
                </c:pt>
                <c:pt idx="40">
                  <c:v>1.3375999999999999</c:v>
                </c:pt>
                <c:pt idx="41">
                  <c:v>1.3203</c:v>
                </c:pt>
                <c:pt idx="42">
                  <c:v>1.3141</c:v>
                </c:pt>
                <c:pt idx="43">
                  <c:v>1.3383</c:v>
                </c:pt>
                <c:pt idx="44">
                  <c:v>1.3</c:v>
                </c:pt>
                <c:pt idx="45">
                  <c:v>1.3066</c:v>
                </c:pt>
                <c:pt idx="46">
                  <c:v>1.2978000000000001</c:v>
                </c:pt>
                <c:pt idx="47">
                  <c:v>1.2730999999999999</c:v>
                </c:pt>
                <c:pt idx="48">
                  <c:v>1.2608999999999999</c:v>
                </c:pt>
                <c:pt idx="49">
                  <c:v>1.2793000000000001</c:v>
                </c:pt>
                <c:pt idx="50">
                  <c:v>1.2739</c:v>
                </c:pt>
                <c:pt idx="51">
                  <c:v>1.2238</c:v>
                </c:pt>
                <c:pt idx="52">
                  <c:v>1.2399</c:v>
                </c:pt>
                <c:pt idx="53">
                  <c:v>1.2383999999999999</c:v>
                </c:pt>
                <c:pt idx="54">
                  <c:v>1.1922999999999999</c:v>
                </c:pt>
                <c:pt idx="55">
                  <c:v>1.2256</c:v>
                </c:pt>
                <c:pt idx="56">
                  <c:v>1.198</c:v>
                </c:pt>
              </c:numCache>
            </c:numRef>
          </c:val>
          <c:smooth val="1"/>
          <c:extLst>
            <c:ext xmlns:c16="http://schemas.microsoft.com/office/drawing/2014/chart" uri="{C3380CC4-5D6E-409C-BE32-E72D297353CC}">
              <c16:uniqueId val="{00000000-7C58-470B-B8C9-E20C15F64735}"/>
            </c:ext>
          </c:extLst>
        </c:ser>
        <c:ser>
          <c:idx val="1"/>
          <c:order val="1"/>
          <c:tx>
            <c:strRef>
              <c:f>'Curvas de Entrenamiento'!$E$2</c:f>
              <c:strCache>
                <c:ptCount val="1"/>
                <c:pt idx="0">
                  <c:v>Loss Caja (Val)</c:v>
                </c:pt>
              </c:strCache>
            </c:strRef>
          </c:tx>
          <c:spPr>
            <a:ln>
              <a:prstDash val="solid"/>
            </a:ln>
          </c:spPr>
          <c:marker>
            <c:symbol val="none"/>
          </c:marker>
          <c:val>
            <c:numRef>
              <c:f>'Curvas de Entrenamiento'!$E$3:$E$59</c:f>
              <c:numCache>
                <c:formatCode>0.0000</c:formatCode>
                <c:ptCount val="57"/>
                <c:pt idx="0">
                  <c:v>3.9041999999999999</c:v>
                </c:pt>
                <c:pt idx="1">
                  <c:v>2.4586999999999999</c:v>
                </c:pt>
                <c:pt idx="2">
                  <c:v>2.37</c:v>
                </c:pt>
                <c:pt idx="3">
                  <c:v>2.2711999999999999</c:v>
                </c:pt>
                <c:pt idx="4">
                  <c:v>2.4558</c:v>
                </c:pt>
                <c:pt idx="5">
                  <c:v>2.3839000000000001</c:v>
                </c:pt>
                <c:pt idx="6">
                  <c:v>2.3233000000000001</c:v>
                </c:pt>
                <c:pt idx="7">
                  <c:v>2.3159999999999998</c:v>
                </c:pt>
                <c:pt idx="8">
                  <c:v>2.2465000000000002</c:v>
                </c:pt>
                <c:pt idx="9">
                  <c:v>2.2843</c:v>
                </c:pt>
                <c:pt idx="10">
                  <c:v>2.2625999999999999</c:v>
                </c:pt>
                <c:pt idx="11">
                  <c:v>2.2440000000000002</c:v>
                </c:pt>
                <c:pt idx="12">
                  <c:v>2.202</c:v>
                </c:pt>
                <c:pt idx="13">
                  <c:v>2.2404999999999999</c:v>
                </c:pt>
                <c:pt idx="14">
                  <c:v>2.2025999999999999</c:v>
                </c:pt>
                <c:pt idx="15">
                  <c:v>2.1856</c:v>
                </c:pt>
                <c:pt idx="16">
                  <c:v>2.1842999999999999</c:v>
                </c:pt>
                <c:pt idx="17">
                  <c:v>2.1644999999999999</c:v>
                </c:pt>
                <c:pt idx="18">
                  <c:v>2.1553</c:v>
                </c:pt>
                <c:pt idx="19">
                  <c:v>2.1497999999999999</c:v>
                </c:pt>
                <c:pt idx="20">
                  <c:v>2.1286999999999998</c:v>
                </c:pt>
                <c:pt idx="21">
                  <c:v>2.1774</c:v>
                </c:pt>
                <c:pt idx="22">
                  <c:v>2.1362000000000001</c:v>
                </c:pt>
                <c:pt idx="23">
                  <c:v>2.1046</c:v>
                </c:pt>
                <c:pt idx="24">
                  <c:v>2.1152000000000002</c:v>
                </c:pt>
                <c:pt idx="25">
                  <c:v>2.1282999999999999</c:v>
                </c:pt>
                <c:pt idx="26">
                  <c:v>2.1192000000000002</c:v>
                </c:pt>
                <c:pt idx="27">
                  <c:v>2.1093999999999999</c:v>
                </c:pt>
                <c:pt idx="28">
                  <c:v>2.093</c:v>
                </c:pt>
                <c:pt idx="29">
                  <c:v>2.0931999999999999</c:v>
                </c:pt>
                <c:pt idx="30">
                  <c:v>2.0585</c:v>
                </c:pt>
                <c:pt idx="31">
                  <c:v>2.0823</c:v>
                </c:pt>
                <c:pt idx="32">
                  <c:v>2.0398000000000001</c:v>
                </c:pt>
                <c:pt idx="33">
                  <c:v>2.0785999999999998</c:v>
                </c:pt>
                <c:pt idx="34">
                  <c:v>2.0691999999999999</c:v>
                </c:pt>
                <c:pt idx="35">
                  <c:v>2.0638999999999998</c:v>
                </c:pt>
                <c:pt idx="36">
                  <c:v>2.0377999999999998</c:v>
                </c:pt>
                <c:pt idx="37">
                  <c:v>2.0508000000000002</c:v>
                </c:pt>
                <c:pt idx="38">
                  <c:v>2.0588000000000002</c:v>
                </c:pt>
                <c:pt idx="39">
                  <c:v>2.0565000000000002</c:v>
                </c:pt>
                <c:pt idx="40">
                  <c:v>2.0364</c:v>
                </c:pt>
                <c:pt idx="41">
                  <c:v>2.0106000000000002</c:v>
                </c:pt>
                <c:pt idx="42">
                  <c:v>2.0291999999999999</c:v>
                </c:pt>
                <c:pt idx="43">
                  <c:v>1.9974000000000001</c:v>
                </c:pt>
                <c:pt idx="44">
                  <c:v>2.0049999999999999</c:v>
                </c:pt>
                <c:pt idx="45">
                  <c:v>2.0240999999999998</c:v>
                </c:pt>
                <c:pt idx="46">
                  <c:v>2.0590999999999999</c:v>
                </c:pt>
                <c:pt idx="47">
                  <c:v>2.0325000000000002</c:v>
                </c:pt>
                <c:pt idx="48">
                  <c:v>2.0314000000000001</c:v>
                </c:pt>
                <c:pt idx="49">
                  <c:v>2.0204</c:v>
                </c:pt>
                <c:pt idx="50">
                  <c:v>2.0331999999999999</c:v>
                </c:pt>
                <c:pt idx="51">
                  <c:v>2.0236999999999998</c:v>
                </c:pt>
                <c:pt idx="52">
                  <c:v>2.0015999999999998</c:v>
                </c:pt>
                <c:pt idx="53">
                  <c:v>2.0234000000000001</c:v>
                </c:pt>
                <c:pt idx="54">
                  <c:v>2.0022000000000002</c:v>
                </c:pt>
                <c:pt idx="55">
                  <c:v>2.0011999999999999</c:v>
                </c:pt>
                <c:pt idx="56">
                  <c:v>2.0053999999999998</c:v>
                </c:pt>
              </c:numCache>
            </c:numRef>
          </c:val>
          <c:smooth val="1"/>
          <c:extLst>
            <c:ext xmlns:c16="http://schemas.microsoft.com/office/drawing/2014/chart" uri="{C3380CC4-5D6E-409C-BE32-E72D297353CC}">
              <c16:uniqueId val="{00000001-7C58-470B-B8C9-E20C15F64735}"/>
            </c:ext>
          </c:extLst>
        </c:ser>
        <c:ser>
          <c:idx val="2"/>
          <c:order val="2"/>
          <c:tx>
            <c:strRef>
              <c:f>'Curvas de Entrenamiento'!$C$2</c:f>
              <c:strCache>
                <c:ptCount val="1"/>
                <c:pt idx="0">
                  <c:v>Loss Seg. (Train)</c:v>
                </c:pt>
              </c:strCache>
            </c:strRef>
          </c:tx>
          <c:spPr>
            <a:ln>
              <a:prstDash val="solid"/>
            </a:ln>
          </c:spPr>
          <c:marker>
            <c:symbol val="none"/>
          </c:marker>
          <c:val>
            <c:numRef>
              <c:f>'Curvas de Entrenamiento'!$C$3:$C$59</c:f>
              <c:numCache>
                <c:formatCode>0.0000</c:formatCode>
                <c:ptCount val="57"/>
                <c:pt idx="0">
                  <c:v>4.2610000000000001</c:v>
                </c:pt>
                <c:pt idx="1">
                  <c:v>3.6029</c:v>
                </c:pt>
                <c:pt idx="2">
                  <c:v>3.3714</c:v>
                </c:pt>
                <c:pt idx="3">
                  <c:v>3.2707000000000002</c:v>
                </c:pt>
                <c:pt idx="4">
                  <c:v>3.1922999999999999</c:v>
                </c:pt>
                <c:pt idx="5">
                  <c:v>3.1453000000000002</c:v>
                </c:pt>
                <c:pt idx="6">
                  <c:v>3.0499000000000001</c:v>
                </c:pt>
                <c:pt idx="7">
                  <c:v>2.9853000000000001</c:v>
                </c:pt>
                <c:pt idx="8">
                  <c:v>2.9508000000000001</c:v>
                </c:pt>
                <c:pt idx="9">
                  <c:v>2.8570000000000002</c:v>
                </c:pt>
                <c:pt idx="10">
                  <c:v>2.9192</c:v>
                </c:pt>
                <c:pt idx="11">
                  <c:v>2.8226</c:v>
                </c:pt>
                <c:pt idx="12">
                  <c:v>2.7536</c:v>
                </c:pt>
                <c:pt idx="13">
                  <c:v>2.7770000000000001</c:v>
                </c:pt>
                <c:pt idx="14">
                  <c:v>2.7078000000000002</c:v>
                </c:pt>
                <c:pt idx="15">
                  <c:v>2.6947000000000001</c:v>
                </c:pt>
                <c:pt idx="16">
                  <c:v>2.6286999999999998</c:v>
                </c:pt>
                <c:pt idx="17">
                  <c:v>2.6274000000000002</c:v>
                </c:pt>
                <c:pt idx="18">
                  <c:v>2.6440000000000001</c:v>
                </c:pt>
                <c:pt idx="19">
                  <c:v>2.5907</c:v>
                </c:pt>
                <c:pt idx="20">
                  <c:v>2.5396000000000001</c:v>
                </c:pt>
                <c:pt idx="21">
                  <c:v>2.5325000000000002</c:v>
                </c:pt>
                <c:pt idx="22">
                  <c:v>2.5771000000000002</c:v>
                </c:pt>
                <c:pt idx="23">
                  <c:v>2.5125000000000002</c:v>
                </c:pt>
                <c:pt idx="24">
                  <c:v>2.5425</c:v>
                </c:pt>
                <c:pt idx="25">
                  <c:v>2.5173000000000001</c:v>
                </c:pt>
                <c:pt idx="26">
                  <c:v>2.4679000000000002</c:v>
                </c:pt>
                <c:pt idx="27">
                  <c:v>2.4540999999999999</c:v>
                </c:pt>
                <c:pt idx="28">
                  <c:v>2.4864999999999999</c:v>
                </c:pt>
                <c:pt idx="29">
                  <c:v>2.4453</c:v>
                </c:pt>
                <c:pt idx="30">
                  <c:v>2.4047000000000001</c:v>
                </c:pt>
                <c:pt idx="31">
                  <c:v>2.3618000000000001</c:v>
                </c:pt>
                <c:pt idx="32">
                  <c:v>2.3841000000000001</c:v>
                </c:pt>
                <c:pt idx="33">
                  <c:v>2.2911999999999999</c:v>
                </c:pt>
                <c:pt idx="34">
                  <c:v>2.3803999999999998</c:v>
                </c:pt>
                <c:pt idx="35">
                  <c:v>2.2673999999999999</c:v>
                </c:pt>
                <c:pt idx="36">
                  <c:v>2.2936999999999999</c:v>
                </c:pt>
                <c:pt idx="37">
                  <c:v>2.3037999999999998</c:v>
                </c:pt>
                <c:pt idx="38">
                  <c:v>2.3035999999999999</c:v>
                </c:pt>
                <c:pt idx="39">
                  <c:v>2.2475000000000001</c:v>
                </c:pt>
                <c:pt idx="40">
                  <c:v>2.2431000000000001</c:v>
                </c:pt>
                <c:pt idx="41">
                  <c:v>2.1970000000000001</c:v>
                </c:pt>
                <c:pt idx="42">
                  <c:v>2.2128000000000001</c:v>
                </c:pt>
                <c:pt idx="43">
                  <c:v>2.2311999999999999</c:v>
                </c:pt>
                <c:pt idx="44">
                  <c:v>2.1808999999999998</c:v>
                </c:pt>
                <c:pt idx="45">
                  <c:v>2.1995</c:v>
                </c:pt>
                <c:pt idx="46">
                  <c:v>2.1717</c:v>
                </c:pt>
                <c:pt idx="47">
                  <c:v>2.1255000000000002</c:v>
                </c:pt>
                <c:pt idx="48">
                  <c:v>2.169</c:v>
                </c:pt>
                <c:pt idx="49">
                  <c:v>2.1328</c:v>
                </c:pt>
                <c:pt idx="50">
                  <c:v>2.145</c:v>
                </c:pt>
                <c:pt idx="51">
                  <c:v>2.0855999999999999</c:v>
                </c:pt>
                <c:pt idx="52">
                  <c:v>2.1063999999999998</c:v>
                </c:pt>
                <c:pt idx="53">
                  <c:v>2.105</c:v>
                </c:pt>
                <c:pt idx="54">
                  <c:v>2.0451000000000001</c:v>
                </c:pt>
                <c:pt idx="55">
                  <c:v>2.0648</c:v>
                </c:pt>
                <c:pt idx="56">
                  <c:v>2.0880999999999998</c:v>
                </c:pt>
              </c:numCache>
            </c:numRef>
          </c:val>
          <c:smooth val="1"/>
          <c:extLst>
            <c:ext xmlns:c16="http://schemas.microsoft.com/office/drawing/2014/chart" uri="{C3380CC4-5D6E-409C-BE32-E72D297353CC}">
              <c16:uniqueId val="{00000002-7C58-470B-B8C9-E20C15F64735}"/>
            </c:ext>
          </c:extLst>
        </c:ser>
        <c:ser>
          <c:idx val="3"/>
          <c:order val="3"/>
          <c:tx>
            <c:strRef>
              <c:f>'Curvas de Entrenamiento'!$F$2</c:f>
              <c:strCache>
                <c:ptCount val="1"/>
                <c:pt idx="0">
                  <c:v>Loss Seg. (Val)</c:v>
                </c:pt>
              </c:strCache>
            </c:strRef>
          </c:tx>
          <c:spPr>
            <a:ln>
              <a:prstDash val="solid"/>
            </a:ln>
          </c:spPr>
          <c:marker>
            <c:symbol val="none"/>
          </c:marker>
          <c:val>
            <c:numRef>
              <c:f>'Curvas de Entrenamiento'!$F$3:$F$59</c:f>
              <c:numCache>
                <c:formatCode>0.0000</c:formatCode>
                <c:ptCount val="57"/>
                <c:pt idx="0">
                  <c:v>9.4895999999999994</c:v>
                </c:pt>
                <c:pt idx="1">
                  <c:v>3.5270999999999999</c:v>
                </c:pt>
                <c:pt idx="2">
                  <c:v>3.2989999999999999</c:v>
                </c:pt>
                <c:pt idx="3">
                  <c:v>3.1297999999999999</c:v>
                </c:pt>
                <c:pt idx="4">
                  <c:v>3.0272000000000001</c:v>
                </c:pt>
                <c:pt idx="5">
                  <c:v>2.9691000000000001</c:v>
                </c:pt>
                <c:pt idx="6">
                  <c:v>2.8971</c:v>
                </c:pt>
                <c:pt idx="7">
                  <c:v>2.7909999999999999</c:v>
                </c:pt>
                <c:pt idx="8">
                  <c:v>2.7932000000000001</c:v>
                </c:pt>
                <c:pt idx="9">
                  <c:v>2.6473</c:v>
                </c:pt>
                <c:pt idx="10">
                  <c:v>2.6143999999999998</c:v>
                </c:pt>
                <c:pt idx="11">
                  <c:v>2.6755</c:v>
                </c:pt>
                <c:pt idx="12">
                  <c:v>2.6440999999999999</c:v>
                </c:pt>
                <c:pt idx="13">
                  <c:v>2.5463</c:v>
                </c:pt>
                <c:pt idx="14">
                  <c:v>2.5661999999999998</c:v>
                </c:pt>
                <c:pt idx="15">
                  <c:v>2.4927000000000001</c:v>
                </c:pt>
                <c:pt idx="16">
                  <c:v>2.5141</c:v>
                </c:pt>
                <c:pt idx="17">
                  <c:v>2.4548999999999999</c:v>
                </c:pt>
                <c:pt idx="18">
                  <c:v>2.4226999999999999</c:v>
                </c:pt>
                <c:pt idx="19">
                  <c:v>2.3974000000000002</c:v>
                </c:pt>
                <c:pt idx="20">
                  <c:v>2.4095</c:v>
                </c:pt>
                <c:pt idx="21">
                  <c:v>2.3938000000000001</c:v>
                </c:pt>
                <c:pt idx="22">
                  <c:v>2.3424</c:v>
                </c:pt>
                <c:pt idx="23">
                  <c:v>2.3319999999999999</c:v>
                </c:pt>
                <c:pt idx="24">
                  <c:v>2.3418000000000001</c:v>
                </c:pt>
                <c:pt idx="25">
                  <c:v>2.3864999999999998</c:v>
                </c:pt>
                <c:pt idx="26">
                  <c:v>2.3431000000000002</c:v>
                </c:pt>
                <c:pt idx="27">
                  <c:v>2.3041</c:v>
                </c:pt>
                <c:pt idx="28">
                  <c:v>2.3262</c:v>
                </c:pt>
                <c:pt idx="29">
                  <c:v>2.3134000000000001</c:v>
                </c:pt>
                <c:pt idx="30">
                  <c:v>2.2791000000000001</c:v>
                </c:pt>
                <c:pt idx="31">
                  <c:v>2.2599</c:v>
                </c:pt>
                <c:pt idx="32">
                  <c:v>2.3047</c:v>
                </c:pt>
                <c:pt idx="33">
                  <c:v>2.2443</c:v>
                </c:pt>
                <c:pt idx="34">
                  <c:v>2.2360000000000002</c:v>
                </c:pt>
                <c:pt idx="35">
                  <c:v>2.2480000000000002</c:v>
                </c:pt>
                <c:pt idx="36">
                  <c:v>2.2360000000000002</c:v>
                </c:pt>
                <c:pt idx="37">
                  <c:v>2.2296</c:v>
                </c:pt>
                <c:pt idx="38">
                  <c:v>2.2492000000000001</c:v>
                </c:pt>
                <c:pt idx="39">
                  <c:v>2.2105000000000001</c:v>
                </c:pt>
                <c:pt idx="40">
                  <c:v>2.2113</c:v>
                </c:pt>
                <c:pt idx="41">
                  <c:v>2.2212999999999998</c:v>
                </c:pt>
                <c:pt idx="42">
                  <c:v>2.1968000000000001</c:v>
                </c:pt>
                <c:pt idx="43">
                  <c:v>2.1953999999999998</c:v>
                </c:pt>
                <c:pt idx="44">
                  <c:v>2.2052999999999998</c:v>
                </c:pt>
                <c:pt idx="45">
                  <c:v>2.1901999999999999</c:v>
                </c:pt>
                <c:pt idx="46">
                  <c:v>2.2225000000000001</c:v>
                </c:pt>
                <c:pt idx="47">
                  <c:v>2.1855000000000002</c:v>
                </c:pt>
                <c:pt idx="48">
                  <c:v>2.1930000000000001</c:v>
                </c:pt>
                <c:pt idx="49">
                  <c:v>2.1875</c:v>
                </c:pt>
                <c:pt idx="50">
                  <c:v>2.1749000000000001</c:v>
                </c:pt>
                <c:pt idx="51">
                  <c:v>2.1756000000000002</c:v>
                </c:pt>
                <c:pt idx="52">
                  <c:v>2.1598000000000002</c:v>
                </c:pt>
                <c:pt idx="53">
                  <c:v>2.1743000000000001</c:v>
                </c:pt>
                <c:pt idx="54">
                  <c:v>2.1722000000000001</c:v>
                </c:pt>
                <c:pt idx="55">
                  <c:v>2.1547999999999998</c:v>
                </c:pt>
                <c:pt idx="56">
                  <c:v>2.1621000000000001</c:v>
                </c:pt>
              </c:numCache>
            </c:numRef>
          </c:val>
          <c:smooth val="1"/>
          <c:extLst>
            <c:ext xmlns:c16="http://schemas.microsoft.com/office/drawing/2014/chart" uri="{C3380CC4-5D6E-409C-BE32-E72D297353CC}">
              <c16:uniqueId val="{00000003-7C58-470B-B8C9-E20C15F64735}"/>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s-PE"/>
                  <a:t>Muestra de Épocas</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PE"/>
                  <a:t>Loss</a:t>
                </a:r>
              </a:p>
            </c:rich>
          </c:tx>
          <c:overlay val="1"/>
        </c:title>
        <c:numFmt formatCode="0.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PE"/>
              <a:t>Evolución mAP@0.5 (Mask) durante el entrenamiento</a:t>
            </a:r>
          </a:p>
        </c:rich>
      </c:tx>
      <c:overlay val="1"/>
    </c:title>
    <c:autoTitleDeleted val="0"/>
    <c:plotArea>
      <c:layout/>
      <c:lineChart>
        <c:grouping val="standard"/>
        <c:varyColors val="1"/>
        <c:ser>
          <c:idx val="0"/>
          <c:order val="0"/>
          <c:tx>
            <c:strRef>
              <c:f>'Curvas de Entrenamiento'!$J$2</c:f>
              <c:strCache>
                <c:ptCount val="1"/>
                <c:pt idx="0">
                  <c:v>mAP@0.5 Mask</c:v>
                </c:pt>
              </c:strCache>
            </c:strRef>
          </c:tx>
          <c:spPr>
            <a:ln>
              <a:prstDash val="solid"/>
            </a:ln>
          </c:spPr>
          <c:marker>
            <c:symbol val="none"/>
          </c:marker>
          <c:val>
            <c:numRef>
              <c:f>'Curvas de Entrenamiento'!$J$3:$J$59</c:f>
              <c:numCache>
                <c:formatCode>0.0000</c:formatCode>
                <c:ptCount val="57"/>
                <c:pt idx="0">
                  <c:v>2.9999999999999997E-4</c:v>
                </c:pt>
                <c:pt idx="1">
                  <c:v>3.78E-2</c:v>
                </c:pt>
                <c:pt idx="2">
                  <c:v>6.8099999999999994E-2</c:v>
                </c:pt>
                <c:pt idx="3">
                  <c:v>8.9599999999999999E-2</c:v>
                </c:pt>
                <c:pt idx="4">
                  <c:v>9.6799999999999997E-2</c:v>
                </c:pt>
                <c:pt idx="5">
                  <c:v>0.1195</c:v>
                </c:pt>
                <c:pt idx="6">
                  <c:v>0.12859999999999999</c:v>
                </c:pt>
                <c:pt idx="7">
                  <c:v>0.1525</c:v>
                </c:pt>
                <c:pt idx="8">
                  <c:v>0.1741</c:v>
                </c:pt>
                <c:pt idx="9">
                  <c:v>0.18820000000000001</c:v>
                </c:pt>
                <c:pt idx="10">
                  <c:v>0.182</c:v>
                </c:pt>
                <c:pt idx="11">
                  <c:v>0.17249999999999999</c:v>
                </c:pt>
                <c:pt idx="12">
                  <c:v>0.2056</c:v>
                </c:pt>
                <c:pt idx="13">
                  <c:v>0.217</c:v>
                </c:pt>
                <c:pt idx="14">
                  <c:v>0.20080000000000001</c:v>
                </c:pt>
                <c:pt idx="15">
                  <c:v>0.2162</c:v>
                </c:pt>
                <c:pt idx="16">
                  <c:v>0.20619999999999999</c:v>
                </c:pt>
                <c:pt idx="17">
                  <c:v>0.2208</c:v>
                </c:pt>
                <c:pt idx="18">
                  <c:v>0.2198</c:v>
                </c:pt>
                <c:pt idx="19">
                  <c:v>0.2238</c:v>
                </c:pt>
                <c:pt idx="20">
                  <c:v>0.24679999999999999</c:v>
                </c:pt>
                <c:pt idx="21">
                  <c:v>0.22770000000000001</c:v>
                </c:pt>
                <c:pt idx="22">
                  <c:v>0.26140000000000002</c:v>
                </c:pt>
                <c:pt idx="23">
                  <c:v>0.26229999999999998</c:v>
                </c:pt>
                <c:pt idx="24">
                  <c:v>0.24690000000000001</c:v>
                </c:pt>
                <c:pt idx="25">
                  <c:v>0.25769999999999998</c:v>
                </c:pt>
                <c:pt idx="26">
                  <c:v>0.29189999999999999</c:v>
                </c:pt>
                <c:pt idx="27">
                  <c:v>0.28970000000000001</c:v>
                </c:pt>
                <c:pt idx="28">
                  <c:v>0.30840000000000001</c:v>
                </c:pt>
                <c:pt idx="29">
                  <c:v>0.28889999999999999</c:v>
                </c:pt>
                <c:pt idx="30">
                  <c:v>0.30740000000000001</c:v>
                </c:pt>
                <c:pt idx="31">
                  <c:v>0.30080000000000001</c:v>
                </c:pt>
                <c:pt idx="32">
                  <c:v>0.29820000000000002</c:v>
                </c:pt>
                <c:pt idx="33">
                  <c:v>0.3276</c:v>
                </c:pt>
                <c:pt idx="34">
                  <c:v>0.3009</c:v>
                </c:pt>
                <c:pt idx="35">
                  <c:v>0.30030000000000001</c:v>
                </c:pt>
                <c:pt idx="36">
                  <c:v>0.30759999999999998</c:v>
                </c:pt>
                <c:pt idx="37">
                  <c:v>0.31819999999999998</c:v>
                </c:pt>
                <c:pt idx="38">
                  <c:v>0.33929999999999999</c:v>
                </c:pt>
                <c:pt idx="39">
                  <c:v>0.3382</c:v>
                </c:pt>
                <c:pt idx="40">
                  <c:v>0.32479999999999998</c:v>
                </c:pt>
                <c:pt idx="41">
                  <c:v>0.33629999999999999</c:v>
                </c:pt>
                <c:pt idx="42">
                  <c:v>0.33989999999999998</c:v>
                </c:pt>
                <c:pt idx="43">
                  <c:v>0.34949999999999998</c:v>
                </c:pt>
                <c:pt idx="44">
                  <c:v>0.35930000000000001</c:v>
                </c:pt>
                <c:pt idx="45">
                  <c:v>0.35630000000000001</c:v>
                </c:pt>
                <c:pt idx="46">
                  <c:v>0.35920000000000002</c:v>
                </c:pt>
                <c:pt idx="47">
                  <c:v>0.36359999999999998</c:v>
                </c:pt>
                <c:pt idx="48">
                  <c:v>0.36349999999999999</c:v>
                </c:pt>
                <c:pt idx="49">
                  <c:v>0.35959999999999998</c:v>
                </c:pt>
                <c:pt idx="50">
                  <c:v>0.39019999999999999</c:v>
                </c:pt>
                <c:pt idx="51">
                  <c:v>0.39050000000000001</c:v>
                </c:pt>
                <c:pt idx="52">
                  <c:v>0.38179999999999997</c:v>
                </c:pt>
                <c:pt idx="53">
                  <c:v>0.37640000000000001</c:v>
                </c:pt>
                <c:pt idx="54">
                  <c:v>0.37180000000000002</c:v>
                </c:pt>
                <c:pt idx="55">
                  <c:v>0.3871</c:v>
                </c:pt>
                <c:pt idx="56">
                  <c:v>0.39069999999999999</c:v>
                </c:pt>
              </c:numCache>
            </c:numRef>
          </c:val>
          <c:smooth val="1"/>
          <c:extLst>
            <c:ext xmlns:c16="http://schemas.microsoft.com/office/drawing/2014/chart" uri="{C3380CC4-5D6E-409C-BE32-E72D297353CC}">
              <c16:uniqueId val="{00000000-6106-45D7-A90E-E3C443E247F1}"/>
            </c:ext>
          </c:extLst>
        </c:ser>
        <c:ser>
          <c:idx val="1"/>
          <c:order val="1"/>
          <c:tx>
            <c:strRef>
              <c:f>'Curvas de Entrenamiento'!$K$2</c:f>
              <c:strCache>
                <c:ptCount val="1"/>
                <c:pt idx="0">
                  <c:v>mAP@0.5:0.95 Mask</c:v>
                </c:pt>
              </c:strCache>
            </c:strRef>
          </c:tx>
          <c:spPr>
            <a:ln>
              <a:prstDash val="solid"/>
            </a:ln>
          </c:spPr>
          <c:marker>
            <c:symbol val="none"/>
          </c:marker>
          <c:val>
            <c:numRef>
              <c:f>'Curvas de Entrenamiento'!$K$3:$K$59</c:f>
              <c:numCache>
                <c:formatCode>0.0000</c:formatCode>
                <c:ptCount val="57"/>
                <c:pt idx="0">
                  <c:v>1E-4</c:v>
                </c:pt>
                <c:pt idx="1">
                  <c:v>1.35E-2</c:v>
                </c:pt>
                <c:pt idx="2">
                  <c:v>2.35E-2</c:v>
                </c:pt>
                <c:pt idx="3">
                  <c:v>3.5900000000000001E-2</c:v>
                </c:pt>
                <c:pt idx="4">
                  <c:v>2.9499999999999998E-2</c:v>
                </c:pt>
                <c:pt idx="5">
                  <c:v>3.8899999999999997E-2</c:v>
                </c:pt>
                <c:pt idx="6">
                  <c:v>4.7300000000000002E-2</c:v>
                </c:pt>
                <c:pt idx="7">
                  <c:v>5.1799999999999999E-2</c:v>
                </c:pt>
                <c:pt idx="8">
                  <c:v>6.7199999999999996E-2</c:v>
                </c:pt>
                <c:pt idx="9">
                  <c:v>6.8900000000000003E-2</c:v>
                </c:pt>
                <c:pt idx="10">
                  <c:v>7.3999999999999996E-2</c:v>
                </c:pt>
                <c:pt idx="11">
                  <c:v>6.4199999999999993E-2</c:v>
                </c:pt>
                <c:pt idx="12">
                  <c:v>8.4699999999999998E-2</c:v>
                </c:pt>
                <c:pt idx="13">
                  <c:v>9.06E-2</c:v>
                </c:pt>
                <c:pt idx="14">
                  <c:v>8.0299999999999996E-2</c:v>
                </c:pt>
                <c:pt idx="15">
                  <c:v>8.5099999999999995E-2</c:v>
                </c:pt>
                <c:pt idx="16">
                  <c:v>8.48E-2</c:v>
                </c:pt>
                <c:pt idx="17">
                  <c:v>0.09</c:v>
                </c:pt>
                <c:pt idx="18">
                  <c:v>9.2100000000000001E-2</c:v>
                </c:pt>
                <c:pt idx="19">
                  <c:v>0.1004</c:v>
                </c:pt>
                <c:pt idx="20">
                  <c:v>0.1177</c:v>
                </c:pt>
                <c:pt idx="21">
                  <c:v>0.1011</c:v>
                </c:pt>
                <c:pt idx="22">
                  <c:v>0.1168</c:v>
                </c:pt>
                <c:pt idx="23">
                  <c:v>0.1139</c:v>
                </c:pt>
                <c:pt idx="24">
                  <c:v>0.1091</c:v>
                </c:pt>
                <c:pt idx="25">
                  <c:v>0.113</c:v>
                </c:pt>
                <c:pt idx="26">
                  <c:v>0.1321</c:v>
                </c:pt>
                <c:pt idx="27">
                  <c:v>0.1305</c:v>
                </c:pt>
                <c:pt idx="28">
                  <c:v>0.1447</c:v>
                </c:pt>
                <c:pt idx="29">
                  <c:v>0.12889999999999999</c:v>
                </c:pt>
                <c:pt idx="30">
                  <c:v>0.14369999999999999</c:v>
                </c:pt>
                <c:pt idx="31">
                  <c:v>0.13819999999999999</c:v>
                </c:pt>
                <c:pt idx="32">
                  <c:v>0.1318</c:v>
                </c:pt>
                <c:pt idx="33">
                  <c:v>0.1497</c:v>
                </c:pt>
                <c:pt idx="34">
                  <c:v>0.13389999999999999</c:v>
                </c:pt>
                <c:pt idx="35">
                  <c:v>0.13250000000000001</c:v>
                </c:pt>
                <c:pt idx="36">
                  <c:v>0.14610000000000001</c:v>
                </c:pt>
                <c:pt idx="37">
                  <c:v>0.1477</c:v>
                </c:pt>
                <c:pt idx="38">
                  <c:v>0.15579999999999999</c:v>
                </c:pt>
                <c:pt idx="39">
                  <c:v>0.16350000000000001</c:v>
                </c:pt>
                <c:pt idx="40">
                  <c:v>0.15909999999999999</c:v>
                </c:pt>
                <c:pt idx="41">
                  <c:v>0.16089999999999999</c:v>
                </c:pt>
                <c:pt idx="42">
                  <c:v>0.15359999999999999</c:v>
                </c:pt>
                <c:pt idx="43">
                  <c:v>0.1673</c:v>
                </c:pt>
                <c:pt idx="44">
                  <c:v>0.1646</c:v>
                </c:pt>
                <c:pt idx="45">
                  <c:v>0.16420000000000001</c:v>
                </c:pt>
                <c:pt idx="46">
                  <c:v>0.1628</c:v>
                </c:pt>
                <c:pt idx="47">
                  <c:v>0.17180000000000001</c:v>
                </c:pt>
                <c:pt idx="48">
                  <c:v>0.1709</c:v>
                </c:pt>
                <c:pt idx="49">
                  <c:v>0.16700000000000001</c:v>
                </c:pt>
                <c:pt idx="50">
                  <c:v>0.18459999999999999</c:v>
                </c:pt>
                <c:pt idx="51">
                  <c:v>0.18990000000000001</c:v>
                </c:pt>
                <c:pt idx="52">
                  <c:v>0.18509999999999999</c:v>
                </c:pt>
                <c:pt idx="53">
                  <c:v>0.17449999999999999</c:v>
                </c:pt>
                <c:pt idx="54">
                  <c:v>0.18210000000000001</c:v>
                </c:pt>
                <c:pt idx="55">
                  <c:v>0.18049999999999999</c:v>
                </c:pt>
                <c:pt idx="56">
                  <c:v>0.18340000000000001</c:v>
                </c:pt>
              </c:numCache>
            </c:numRef>
          </c:val>
          <c:smooth val="1"/>
          <c:extLst>
            <c:ext xmlns:c16="http://schemas.microsoft.com/office/drawing/2014/chart" uri="{C3380CC4-5D6E-409C-BE32-E72D297353CC}">
              <c16:uniqueId val="{00000001-6106-45D7-A90E-E3C443E247F1}"/>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s-PE"/>
                  <a:t>Muestra de Épocas</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PE"/>
                  <a:t>mAP@0.5</a:t>
                </a:r>
              </a:p>
            </c:rich>
          </c:tx>
          <c:overlay val="1"/>
        </c:title>
        <c:numFmt formatCode="0.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PE"/>
              <a:t>AP@0.5 Mask por Clase</a:t>
            </a:r>
          </a:p>
        </c:rich>
      </c:tx>
      <c:overlay val="1"/>
    </c:title>
    <c:autoTitleDeleted val="0"/>
    <c:plotArea>
      <c:layout/>
      <c:barChart>
        <c:barDir val="col"/>
        <c:grouping val="clustered"/>
        <c:varyColors val="1"/>
        <c:ser>
          <c:idx val="0"/>
          <c:order val="0"/>
          <c:tx>
            <c:strRef>
              <c:f>'Métricas por Clase'!$B$12</c:f>
              <c:strCache>
                <c:ptCount val="1"/>
                <c:pt idx="0">
                  <c:v>AP@0.5 (Mask) ★</c:v>
                </c:pt>
              </c:strCache>
            </c:strRef>
          </c:tx>
          <c:spPr>
            <a:ln>
              <a:prstDash val="solid"/>
            </a:ln>
          </c:spPr>
          <c:invertIfNegative val="1"/>
          <c:cat>
            <c:strRef>
              <c:f>'Métricas por Clase'!$A$13:$A$16</c:f>
              <c:strCache>
                <c:ptCount val="4"/>
                <c:pt idx="0">
                  <c:v>BACHE</c:v>
                </c:pt>
                <c:pt idx="1">
                  <c:v>PIEL DE COCODRILO</c:v>
                </c:pt>
                <c:pt idx="2">
                  <c:v>PARCHE</c:v>
                </c:pt>
                <c:pt idx="3">
                  <c:v>GRIETA</c:v>
                </c:pt>
              </c:strCache>
            </c:strRef>
          </c:cat>
          <c:val>
            <c:numRef>
              <c:f>'Métricas por Clase'!$B$13:$B$16</c:f>
              <c:numCache>
                <c:formatCode>0.000</c:formatCode>
                <c:ptCount val="4"/>
                <c:pt idx="0">
                  <c:v>0.71</c:v>
                </c:pt>
                <c:pt idx="1">
                  <c:v>0.40200000000000002</c:v>
                </c:pt>
                <c:pt idx="2">
                  <c:v>0.26200000000000001</c:v>
                </c:pt>
                <c:pt idx="3">
                  <c:v>0.23300000000000001</c:v>
                </c:pt>
              </c:numCache>
            </c:numRef>
          </c:val>
          <c:extLst>
            <c:ext xmlns:c16="http://schemas.microsoft.com/office/drawing/2014/chart" uri="{C3380CC4-5D6E-409C-BE32-E72D297353CC}">
              <c16:uniqueId val="{00000000-0970-41AE-B939-9BB961ED1F4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scaling>
        <c:delete val="1"/>
        <c:axPos val="l"/>
        <c:majorGridlines/>
        <c:title>
          <c:tx>
            <c:rich>
              <a:bodyPr/>
              <a:lstStyle/>
              <a:p>
                <a:pPr>
                  <a:defRPr/>
                </a:pPr>
                <a:r>
                  <a:rPr lang="es-PE"/>
                  <a:t>AP@0.5 (Mask)</a:t>
                </a:r>
              </a:p>
            </c:rich>
          </c:tx>
          <c:overlay val="1"/>
        </c:title>
        <c:numFmt formatCode="0.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PE"/>
              <a:t>Curva F1-Confidence (Mask) — Todas las clases</a:t>
            </a:r>
          </a:p>
        </c:rich>
      </c:tx>
      <c:overlay val="1"/>
    </c:title>
    <c:autoTitleDeleted val="0"/>
    <c:plotArea>
      <c:layout/>
      <c:lineChart>
        <c:grouping val="standard"/>
        <c:varyColors val="1"/>
        <c:ser>
          <c:idx val="0"/>
          <c:order val="0"/>
          <c:tx>
            <c:strRef>
              <c:f>'Curvas F1 y PR'!$B$4</c:f>
              <c:strCache>
                <c:ptCount val="1"/>
                <c:pt idx="0">
                  <c:v>F1 All Classes</c:v>
                </c:pt>
              </c:strCache>
            </c:strRef>
          </c:tx>
          <c:spPr>
            <a:ln>
              <a:prstDash val="solid"/>
            </a:ln>
          </c:spPr>
          <c:marker>
            <c:symbol val="none"/>
          </c:marker>
          <c:val>
            <c:numRef>
              <c:f>'Curvas F1 y PR'!$B$5:$B$14</c:f>
              <c:numCache>
                <c:formatCode>0.000</c:formatCode>
                <c:ptCount val="10"/>
                <c:pt idx="0">
                  <c:v>0.13</c:v>
                </c:pt>
                <c:pt idx="1">
                  <c:v>0.35</c:v>
                </c:pt>
                <c:pt idx="2">
                  <c:v>0.41</c:v>
                </c:pt>
                <c:pt idx="3">
                  <c:v>0.44</c:v>
                </c:pt>
                <c:pt idx="4">
                  <c:v>0.44</c:v>
                </c:pt>
                <c:pt idx="5">
                  <c:v>0.43</c:v>
                </c:pt>
                <c:pt idx="6">
                  <c:v>0.4</c:v>
                </c:pt>
                <c:pt idx="7">
                  <c:v>0.25</c:v>
                </c:pt>
                <c:pt idx="8">
                  <c:v>0.06</c:v>
                </c:pt>
                <c:pt idx="9">
                  <c:v>0</c:v>
                </c:pt>
              </c:numCache>
            </c:numRef>
          </c:val>
          <c:smooth val="1"/>
          <c:extLst>
            <c:ext xmlns:c16="http://schemas.microsoft.com/office/drawing/2014/chart" uri="{C3380CC4-5D6E-409C-BE32-E72D297353CC}">
              <c16:uniqueId val="{00000000-95E8-4C36-B47B-13913E3767E2}"/>
            </c:ext>
          </c:extLst>
        </c:ser>
        <c:ser>
          <c:idx val="1"/>
          <c:order val="1"/>
          <c:tx>
            <c:strRef>
              <c:f>'Curvas F1 y PR'!$C$4</c:f>
              <c:strCache>
                <c:ptCount val="1"/>
                <c:pt idx="0">
                  <c:v>F1 BACHE</c:v>
                </c:pt>
              </c:strCache>
            </c:strRef>
          </c:tx>
          <c:spPr>
            <a:ln>
              <a:prstDash val="solid"/>
            </a:ln>
          </c:spPr>
          <c:marker>
            <c:symbol val="none"/>
          </c:marker>
          <c:val>
            <c:numRef>
              <c:f>'Curvas F1 y PR'!$C$5:$C$14</c:f>
              <c:numCache>
                <c:formatCode>0.000</c:formatCode>
                <c:ptCount val="10"/>
                <c:pt idx="0">
                  <c:v>0.12</c:v>
                </c:pt>
                <c:pt idx="1">
                  <c:v>0.56999999999999995</c:v>
                </c:pt>
                <c:pt idx="2">
                  <c:v>0.64</c:v>
                </c:pt>
                <c:pt idx="3">
                  <c:v>0.67</c:v>
                </c:pt>
                <c:pt idx="4">
                  <c:v>0.69</c:v>
                </c:pt>
                <c:pt idx="5">
                  <c:v>0.66</c:v>
                </c:pt>
                <c:pt idx="6">
                  <c:v>0.6</c:v>
                </c:pt>
                <c:pt idx="7">
                  <c:v>0.4</c:v>
                </c:pt>
                <c:pt idx="8">
                  <c:v>0.12</c:v>
                </c:pt>
                <c:pt idx="9">
                  <c:v>0</c:v>
                </c:pt>
              </c:numCache>
            </c:numRef>
          </c:val>
          <c:smooth val="1"/>
          <c:extLst>
            <c:ext xmlns:c16="http://schemas.microsoft.com/office/drawing/2014/chart" uri="{C3380CC4-5D6E-409C-BE32-E72D297353CC}">
              <c16:uniqueId val="{00000001-95E8-4C36-B47B-13913E3767E2}"/>
            </c:ext>
          </c:extLst>
        </c:ser>
        <c:ser>
          <c:idx val="2"/>
          <c:order val="2"/>
          <c:tx>
            <c:strRef>
              <c:f>'Curvas F1 y PR'!$D$4</c:f>
              <c:strCache>
                <c:ptCount val="1"/>
                <c:pt idx="0">
                  <c:v>F1 GRIETA</c:v>
                </c:pt>
              </c:strCache>
            </c:strRef>
          </c:tx>
          <c:spPr>
            <a:ln>
              <a:prstDash val="solid"/>
            </a:ln>
          </c:spPr>
          <c:marker>
            <c:symbol val="none"/>
          </c:marker>
          <c:val>
            <c:numRef>
              <c:f>'Curvas F1 y PR'!$D$5:$D$14</c:f>
              <c:numCache>
                <c:formatCode>0.000</c:formatCode>
                <c:ptCount val="10"/>
                <c:pt idx="0">
                  <c:v>0.12</c:v>
                </c:pt>
                <c:pt idx="1">
                  <c:v>0.27</c:v>
                </c:pt>
                <c:pt idx="2">
                  <c:v>0.31</c:v>
                </c:pt>
                <c:pt idx="3">
                  <c:v>0.32</c:v>
                </c:pt>
                <c:pt idx="4">
                  <c:v>0.32</c:v>
                </c:pt>
                <c:pt idx="5">
                  <c:v>0.3</c:v>
                </c:pt>
                <c:pt idx="6">
                  <c:v>0.22</c:v>
                </c:pt>
                <c:pt idx="7">
                  <c:v>7.0000000000000007E-2</c:v>
                </c:pt>
                <c:pt idx="8">
                  <c:v>0.02</c:v>
                </c:pt>
                <c:pt idx="9">
                  <c:v>0</c:v>
                </c:pt>
              </c:numCache>
            </c:numRef>
          </c:val>
          <c:smooth val="1"/>
          <c:extLst>
            <c:ext xmlns:c16="http://schemas.microsoft.com/office/drawing/2014/chart" uri="{C3380CC4-5D6E-409C-BE32-E72D297353CC}">
              <c16:uniqueId val="{00000002-95E8-4C36-B47B-13913E3767E2}"/>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s-PE"/>
                  <a:t>Umbral de Confianza</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PE"/>
                  <a:t>F1 Score</a:t>
                </a:r>
              </a:p>
            </c:rich>
          </c:tx>
          <c:overlay val="1"/>
        </c:title>
        <c:numFmt formatCode="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62</xdr:row>
      <xdr:rowOff>0</xdr:rowOff>
    </xdr:from>
    <xdr:ext cx="720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276225</xdr:colOff>
      <xdr:row>61</xdr:row>
      <xdr:rowOff>76200</xdr:rowOff>
    </xdr:from>
    <xdr:ext cx="7200000" cy="43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942975</xdr:colOff>
      <xdr:row>19</xdr:row>
      <xdr:rowOff>76200</xdr:rowOff>
    </xdr:from>
    <xdr:ext cx="648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25</xdr:row>
      <xdr:rowOff>0</xdr:rowOff>
    </xdr:from>
    <xdr:ext cx="7920000" cy="50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6" workbookViewId="0">
      <selection activeCell="B41" sqref="B41"/>
    </sheetView>
  </sheetViews>
  <sheetFormatPr baseColWidth="10" defaultColWidth="9.140625" defaultRowHeight="15" x14ac:dyDescent="0.25"/>
  <cols>
    <col min="1" max="1" width="32" customWidth="1"/>
    <col min="2" max="3" width="20" customWidth="1"/>
    <col min="4" max="4" width="34" customWidth="1"/>
  </cols>
  <sheetData>
    <row r="1" spans="1:4" ht="36" customHeight="1" x14ac:dyDescent="0.25">
      <c r="A1" s="66" t="s">
        <v>0</v>
      </c>
      <c r="B1" s="67"/>
      <c r="C1" s="67"/>
      <c r="D1" s="67"/>
    </row>
    <row r="2" spans="1:4" ht="21.95" customHeight="1" x14ac:dyDescent="0.25">
      <c r="A2" s="70" t="s">
        <v>1</v>
      </c>
      <c r="B2" s="67"/>
      <c r="C2" s="67"/>
      <c r="D2" s="67"/>
    </row>
    <row r="4" spans="1:4" ht="24" customHeight="1" x14ac:dyDescent="0.25">
      <c r="A4" s="69" t="s">
        <v>2</v>
      </c>
      <c r="B4" s="67"/>
      <c r="C4" s="67"/>
      <c r="D4" s="67"/>
    </row>
    <row r="5" spans="1:4" ht="37.5" customHeight="1" x14ac:dyDescent="0.25">
      <c r="A5" s="1" t="s">
        <v>3</v>
      </c>
      <c r="B5" s="1" t="s">
        <v>4</v>
      </c>
      <c r="C5" s="1" t="s">
        <v>5</v>
      </c>
      <c r="D5" s="1" t="s">
        <v>6</v>
      </c>
    </row>
    <row r="6" spans="1:4" ht="28.5" x14ac:dyDescent="0.25">
      <c r="A6" s="2" t="s">
        <v>7</v>
      </c>
      <c r="B6" s="3">
        <v>0.39600000000000002</v>
      </c>
      <c r="C6" s="3">
        <v>0.40200000000000002</v>
      </c>
      <c r="D6" s="4" t="s">
        <v>8</v>
      </c>
    </row>
    <row r="7" spans="1:4" ht="28.5" x14ac:dyDescent="0.25">
      <c r="A7" s="5" t="s">
        <v>9</v>
      </c>
      <c r="B7" s="6">
        <v>0.184</v>
      </c>
      <c r="C7" s="6">
        <v>0.17899999999999999</v>
      </c>
      <c r="D7" s="7" t="s">
        <v>10</v>
      </c>
    </row>
    <row r="8" spans="1:4" ht="28.5" x14ac:dyDescent="0.25">
      <c r="A8" s="2" t="s">
        <v>11</v>
      </c>
      <c r="B8" s="3">
        <v>0.45500000000000002</v>
      </c>
      <c r="C8" s="3">
        <v>0.44900000000000001</v>
      </c>
      <c r="D8" s="4" t="s">
        <v>12</v>
      </c>
    </row>
    <row r="9" spans="1:4" ht="28.5" x14ac:dyDescent="0.25">
      <c r="A9" s="5" t="s">
        <v>13</v>
      </c>
      <c r="B9" s="6">
        <v>0.441</v>
      </c>
      <c r="C9" s="6">
        <v>0.438</v>
      </c>
      <c r="D9" s="7" t="s">
        <v>14</v>
      </c>
    </row>
    <row r="10" spans="1:4" ht="28.5" x14ac:dyDescent="0.25">
      <c r="A10" s="2" t="s">
        <v>15</v>
      </c>
      <c r="B10" s="3">
        <v>0.43</v>
      </c>
      <c r="C10" s="3">
        <v>0.44</v>
      </c>
      <c r="D10" s="4" t="s">
        <v>16</v>
      </c>
    </row>
    <row r="11" spans="1:4" ht="28.5" x14ac:dyDescent="0.25">
      <c r="A11" s="5" t="s">
        <v>17</v>
      </c>
      <c r="B11" s="6">
        <v>0.35599999999999998</v>
      </c>
      <c r="C11" s="6">
        <v>0.36599999999999999</v>
      </c>
      <c r="D11" s="7" t="s">
        <v>18</v>
      </c>
    </row>
    <row r="12" spans="1:4" ht="28.5" x14ac:dyDescent="0.25">
      <c r="A12" s="2" t="s">
        <v>19</v>
      </c>
      <c r="B12" s="3">
        <v>0.82</v>
      </c>
      <c r="C12" s="3">
        <v>0.78</v>
      </c>
      <c r="D12" s="4" t="s">
        <v>20</v>
      </c>
    </row>
    <row r="13" spans="1:4" ht="28.5" x14ac:dyDescent="0.25">
      <c r="A13" s="5" t="s">
        <v>21</v>
      </c>
      <c r="B13" s="6">
        <v>277</v>
      </c>
      <c r="C13" s="6">
        <v>277</v>
      </c>
      <c r="D13" s="7" t="s">
        <v>22</v>
      </c>
    </row>
    <row r="16" spans="1:4" ht="24" customHeight="1" x14ac:dyDescent="0.25">
      <c r="A16" s="69" t="s">
        <v>23</v>
      </c>
      <c r="B16" s="67"/>
      <c r="C16" s="67"/>
      <c r="D16" s="67"/>
    </row>
    <row r="17" spans="1:4" x14ac:dyDescent="0.25">
      <c r="A17" s="1" t="s">
        <v>24</v>
      </c>
      <c r="B17" s="1" t="s">
        <v>25</v>
      </c>
      <c r="C17" s="1" t="s">
        <v>26</v>
      </c>
      <c r="D17" s="1" t="s">
        <v>27</v>
      </c>
    </row>
    <row r="18" spans="1:4" ht="28.5" x14ac:dyDescent="0.25">
      <c r="A18" s="2" t="s">
        <v>28</v>
      </c>
      <c r="B18" s="8">
        <v>0.71</v>
      </c>
      <c r="C18" s="9">
        <v>275</v>
      </c>
      <c r="D18" s="4" t="s">
        <v>29</v>
      </c>
    </row>
    <row r="19" spans="1:4" ht="28.5" x14ac:dyDescent="0.25">
      <c r="A19" s="5" t="s">
        <v>30</v>
      </c>
      <c r="B19" s="10">
        <v>0.40200000000000002</v>
      </c>
      <c r="C19" s="11">
        <v>922</v>
      </c>
      <c r="D19" s="7" t="s">
        <v>31</v>
      </c>
    </row>
    <row r="20" spans="1:4" ht="28.5" x14ac:dyDescent="0.25">
      <c r="A20" s="2" t="s">
        <v>32</v>
      </c>
      <c r="B20" s="12">
        <v>0.26200000000000001</v>
      </c>
      <c r="C20" s="9">
        <v>160</v>
      </c>
      <c r="D20" s="4" t="s">
        <v>33</v>
      </c>
    </row>
    <row r="21" spans="1:4" ht="28.5" x14ac:dyDescent="0.25">
      <c r="A21" s="5" t="s">
        <v>34</v>
      </c>
      <c r="B21" s="13">
        <v>0.23300000000000001</v>
      </c>
      <c r="C21" s="11">
        <v>1900</v>
      </c>
      <c r="D21" s="7" t="s">
        <v>35</v>
      </c>
    </row>
    <row r="22" spans="1:4" x14ac:dyDescent="0.25">
      <c r="A22" s="2" t="s">
        <v>36</v>
      </c>
      <c r="B22" s="14">
        <f>AVERAGE(B18:B21)</f>
        <v>0.40175000000000005</v>
      </c>
      <c r="C22" s="9">
        <f>SUM(C18:C21)</f>
        <v>3257</v>
      </c>
      <c r="D22" s="4" t="s">
        <v>37</v>
      </c>
    </row>
    <row r="25" spans="1:4" ht="24" customHeight="1" x14ac:dyDescent="0.25">
      <c r="A25" s="69" t="s">
        <v>38</v>
      </c>
      <c r="B25" s="67"/>
      <c r="C25" s="67"/>
      <c r="D25" s="67"/>
    </row>
    <row r="26" spans="1:4" x14ac:dyDescent="0.25">
      <c r="A26" s="1" t="s">
        <v>24</v>
      </c>
      <c r="B26" s="1" t="s">
        <v>39</v>
      </c>
      <c r="C26" s="1" t="s">
        <v>40</v>
      </c>
      <c r="D26" s="1" t="s">
        <v>41</v>
      </c>
    </row>
    <row r="27" spans="1:4" ht="18" customHeight="1" x14ac:dyDescent="0.25">
      <c r="A27" s="4" t="s">
        <v>42</v>
      </c>
      <c r="B27" s="9">
        <v>1900</v>
      </c>
      <c r="C27" s="15">
        <f>B27/B31</f>
        <v>0.58335891925084438</v>
      </c>
      <c r="D27" s="4" t="s">
        <v>43</v>
      </c>
    </row>
    <row r="28" spans="1:4" ht="18" customHeight="1" x14ac:dyDescent="0.25">
      <c r="A28" s="7" t="s">
        <v>30</v>
      </c>
      <c r="B28" s="11">
        <v>922</v>
      </c>
      <c r="C28" s="16">
        <f>B28/B31</f>
        <v>0.28308259134172553</v>
      </c>
      <c r="D28" s="7" t="s">
        <v>44</v>
      </c>
    </row>
    <row r="29" spans="1:4" ht="18" customHeight="1" x14ac:dyDescent="0.25">
      <c r="A29" s="4" t="s">
        <v>45</v>
      </c>
      <c r="B29" s="9">
        <v>275</v>
      </c>
      <c r="C29" s="15">
        <f>B29/B31</f>
        <v>8.4433527786306417E-2</v>
      </c>
      <c r="D29" s="4" t="s">
        <v>46</v>
      </c>
    </row>
    <row r="30" spans="1:4" ht="18" customHeight="1" x14ac:dyDescent="0.25">
      <c r="A30" s="7" t="s">
        <v>32</v>
      </c>
      <c r="B30" s="11">
        <v>160</v>
      </c>
      <c r="C30" s="16">
        <f>B30/B31</f>
        <v>4.9124961621123731E-2</v>
      </c>
      <c r="D30" s="7" t="s">
        <v>47</v>
      </c>
    </row>
    <row r="31" spans="1:4" ht="18" customHeight="1" x14ac:dyDescent="0.25">
      <c r="A31" s="17" t="s">
        <v>48</v>
      </c>
      <c r="B31" s="18">
        <f>SUM(B27:B30)</f>
        <v>3257</v>
      </c>
      <c r="C31" s="19">
        <v>1</v>
      </c>
      <c r="D31" s="20"/>
    </row>
    <row r="34" spans="1:4" ht="18" customHeight="1" x14ac:dyDescent="0.25">
      <c r="A34" s="68" t="s">
        <v>49</v>
      </c>
      <c r="B34" s="67"/>
      <c r="C34" s="67"/>
      <c r="D34" s="67"/>
    </row>
    <row r="35" spans="1:4" ht="45" customHeight="1" x14ac:dyDescent="0.25">
      <c r="A35" s="71" t="s">
        <v>50</v>
      </c>
      <c r="B35" s="67"/>
      <c r="C35" s="67"/>
      <c r="D35" s="67"/>
    </row>
    <row r="36" spans="1:4" ht="20.100000000000001" customHeight="1" x14ac:dyDescent="0.25">
      <c r="A36" s="67"/>
      <c r="B36" s="67"/>
      <c r="C36" s="67"/>
      <c r="D36" s="67"/>
    </row>
  </sheetData>
  <mergeCells count="7">
    <mergeCell ref="A35:D36"/>
    <mergeCell ref="A1:D1"/>
    <mergeCell ref="A34:D34"/>
    <mergeCell ref="A4:D4"/>
    <mergeCell ref="A25:D25"/>
    <mergeCell ref="A16:D16"/>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topLeftCell="A42" workbookViewId="0">
      <selection activeCell="J71" sqref="J71"/>
    </sheetView>
  </sheetViews>
  <sheetFormatPr baseColWidth="10" defaultColWidth="9.140625" defaultRowHeight="15" x14ac:dyDescent="0.25"/>
  <cols>
    <col min="1" max="1" width="8" customWidth="1"/>
    <col min="2" max="15" width="16" customWidth="1"/>
  </cols>
  <sheetData>
    <row r="1" spans="1:15" ht="30" customHeight="1" x14ac:dyDescent="0.25">
      <c r="A1" s="72" t="s">
        <v>51</v>
      </c>
      <c r="B1" s="67"/>
      <c r="C1" s="67"/>
      <c r="D1" s="67"/>
      <c r="E1" s="67"/>
      <c r="F1" s="67"/>
      <c r="G1" s="67"/>
      <c r="H1" s="67"/>
      <c r="I1" s="67"/>
      <c r="J1" s="67"/>
      <c r="K1" s="67"/>
      <c r="L1" s="67"/>
      <c r="M1" s="67"/>
      <c r="N1" s="67"/>
      <c r="O1" s="67"/>
    </row>
    <row r="2" spans="1:15" ht="24" x14ac:dyDescent="0.25">
      <c r="A2" s="21" t="s">
        <v>52</v>
      </c>
      <c r="B2" s="21" t="s">
        <v>53</v>
      </c>
      <c r="C2" s="21" t="s">
        <v>54</v>
      </c>
      <c r="D2" s="21" t="s">
        <v>55</v>
      </c>
      <c r="E2" s="21" t="s">
        <v>56</v>
      </c>
      <c r="F2" s="21" t="s">
        <v>57</v>
      </c>
      <c r="G2" s="21" t="s">
        <v>58</v>
      </c>
      <c r="H2" s="21" t="s">
        <v>59</v>
      </c>
      <c r="I2" s="21" t="s">
        <v>60</v>
      </c>
      <c r="J2" s="21" t="s">
        <v>61</v>
      </c>
      <c r="K2" s="21" t="s">
        <v>62</v>
      </c>
      <c r="L2" s="21" t="s">
        <v>63</v>
      </c>
      <c r="M2" s="21" t="s">
        <v>64</v>
      </c>
      <c r="N2" s="21" t="s">
        <v>65</v>
      </c>
      <c r="O2" s="21" t="s">
        <v>66</v>
      </c>
    </row>
    <row r="3" spans="1:15" ht="15.95" customHeight="1" x14ac:dyDescent="0.25">
      <c r="A3" s="22">
        <v>1</v>
      </c>
      <c r="B3" s="23">
        <v>2.7119</v>
      </c>
      <c r="C3" s="23">
        <v>4.2610000000000001</v>
      </c>
      <c r="D3" s="23">
        <v>3.5691000000000002</v>
      </c>
      <c r="E3" s="23">
        <v>3.9041999999999999</v>
      </c>
      <c r="F3" s="23">
        <v>9.4895999999999994</v>
      </c>
      <c r="G3" s="23">
        <v>26.210899999999999</v>
      </c>
      <c r="H3" s="23">
        <v>5.0000000000000001E-4</v>
      </c>
      <c r="I3" s="23">
        <v>1E-4</v>
      </c>
      <c r="J3" s="23">
        <v>2.9999999999999997E-4</v>
      </c>
      <c r="K3" s="23">
        <v>1E-4</v>
      </c>
      <c r="L3" s="23">
        <v>8.0000000000000004E-4</v>
      </c>
      <c r="M3" s="23">
        <v>8.1100000000000005E-2</v>
      </c>
      <c r="N3" s="23">
        <v>6.9999999999999999E-4</v>
      </c>
      <c r="O3" s="23">
        <v>8.8999999999999999E-3</v>
      </c>
    </row>
    <row r="4" spans="1:15" ht="15.95" customHeight="1" x14ac:dyDescent="0.25">
      <c r="A4" s="24">
        <v>6</v>
      </c>
      <c r="B4" s="25">
        <v>2.2909999999999999</v>
      </c>
      <c r="C4" s="25">
        <v>3.6029</v>
      </c>
      <c r="D4" s="25">
        <v>3.1282000000000001</v>
      </c>
      <c r="E4" s="25">
        <v>2.4586999999999999</v>
      </c>
      <c r="F4" s="25">
        <v>3.5270999999999999</v>
      </c>
      <c r="G4" s="25">
        <v>3.4714</v>
      </c>
      <c r="H4" s="25">
        <v>4.9599999999999998E-2</v>
      </c>
      <c r="I4" s="25">
        <v>0.02</v>
      </c>
      <c r="J4" s="25">
        <v>3.78E-2</v>
      </c>
      <c r="K4" s="25">
        <v>1.35E-2</v>
      </c>
      <c r="L4" s="25">
        <v>0.58989999999999998</v>
      </c>
      <c r="M4" s="25">
        <v>5.2299999999999999E-2</v>
      </c>
      <c r="N4" s="25">
        <v>0.58389999999999997</v>
      </c>
      <c r="O4" s="25">
        <v>4.8500000000000001E-2</v>
      </c>
    </row>
    <row r="5" spans="1:15" ht="15.95" customHeight="1" x14ac:dyDescent="0.25">
      <c r="A5" s="22">
        <v>11</v>
      </c>
      <c r="B5" s="23">
        <v>2.1436999999999999</v>
      </c>
      <c r="C5" s="23">
        <v>3.3714</v>
      </c>
      <c r="D5" s="23">
        <v>2.9159999999999999</v>
      </c>
      <c r="E5" s="23">
        <v>2.37</v>
      </c>
      <c r="F5" s="23">
        <v>3.2989999999999999</v>
      </c>
      <c r="G5" s="23">
        <v>3.4152999999999998</v>
      </c>
      <c r="H5" s="23">
        <v>7.4800000000000005E-2</v>
      </c>
      <c r="I5" s="23">
        <v>2.5399999999999999E-2</v>
      </c>
      <c r="J5" s="23">
        <v>6.8099999999999994E-2</v>
      </c>
      <c r="K5" s="23">
        <v>2.35E-2</v>
      </c>
      <c r="L5" s="23">
        <v>0.40010000000000001</v>
      </c>
      <c r="M5" s="23">
        <v>9.2299999999999993E-2</v>
      </c>
      <c r="N5" s="23">
        <v>0.38229999999999997</v>
      </c>
      <c r="O5" s="23">
        <v>7.8399999999999997E-2</v>
      </c>
    </row>
    <row r="6" spans="1:15" ht="15.95" customHeight="1" x14ac:dyDescent="0.25">
      <c r="A6" s="24">
        <v>16</v>
      </c>
      <c r="B6" s="25">
        <v>2.0680000000000001</v>
      </c>
      <c r="C6" s="25">
        <v>3.2707000000000002</v>
      </c>
      <c r="D6" s="25">
        <v>2.7911999999999999</v>
      </c>
      <c r="E6" s="25">
        <v>2.2711999999999999</v>
      </c>
      <c r="F6" s="25">
        <v>3.1297999999999999</v>
      </c>
      <c r="G6" s="25">
        <v>3.2265999999999999</v>
      </c>
      <c r="H6" s="25">
        <v>9.9299999999999999E-2</v>
      </c>
      <c r="I6" s="25">
        <v>3.9399999999999998E-2</v>
      </c>
      <c r="J6" s="25">
        <v>8.9599999999999999E-2</v>
      </c>
      <c r="K6" s="25">
        <v>3.5900000000000001E-2</v>
      </c>
      <c r="L6" s="25">
        <v>0.42649999999999999</v>
      </c>
      <c r="M6" s="25">
        <v>0.109</v>
      </c>
      <c r="N6" s="25">
        <v>0.375</v>
      </c>
      <c r="O6" s="25">
        <v>0.1177</v>
      </c>
    </row>
    <row r="7" spans="1:15" ht="15.95" customHeight="1" x14ac:dyDescent="0.25">
      <c r="A7" s="22">
        <v>21</v>
      </c>
      <c r="B7" s="23">
        <v>2.004</v>
      </c>
      <c r="C7" s="23">
        <v>3.1922999999999999</v>
      </c>
      <c r="D7" s="23">
        <v>2.7170000000000001</v>
      </c>
      <c r="E7" s="23">
        <v>2.4558</v>
      </c>
      <c r="F7" s="23">
        <v>3.0272000000000001</v>
      </c>
      <c r="G7" s="23">
        <v>3.1013000000000002</v>
      </c>
      <c r="H7" s="23">
        <v>0.1051</v>
      </c>
      <c r="I7" s="23">
        <v>3.1399999999999997E-2</v>
      </c>
      <c r="J7" s="23">
        <v>9.6799999999999997E-2</v>
      </c>
      <c r="K7" s="23">
        <v>2.9499999999999998E-2</v>
      </c>
      <c r="L7" s="23">
        <v>0.45300000000000001</v>
      </c>
      <c r="M7" s="23">
        <v>0.14369999999999999</v>
      </c>
      <c r="N7" s="23">
        <v>0.45329999999999998</v>
      </c>
      <c r="O7" s="23">
        <v>0.11899999999999999</v>
      </c>
    </row>
    <row r="8" spans="1:15" ht="15.95" customHeight="1" x14ac:dyDescent="0.25">
      <c r="A8" s="24">
        <v>26</v>
      </c>
      <c r="B8" s="25">
        <v>1.9641</v>
      </c>
      <c r="C8" s="25">
        <v>3.1453000000000002</v>
      </c>
      <c r="D8" s="25">
        <v>2.6448999999999998</v>
      </c>
      <c r="E8" s="25">
        <v>2.3839000000000001</v>
      </c>
      <c r="F8" s="25">
        <v>2.9691000000000001</v>
      </c>
      <c r="G8" s="25">
        <v>3.0674000000000001</v>
      </c>
      <c r="H8" s="25">
        <v>0.12939999999999999</v>
      </c>
      <c r="I8" s="25">
        <v>4.4499999999999998E-2</v>
      </c>
      <c r="J8" s="25">
        <v>0.1195</v>
      </c>
      <c r="K8" s="25">
        <v>3.8899999999999997E-2</v>
      </c>
      <c r="L8" s="25">
        <v>0.40960000000000002</v>
      </c>
      <c r="M8" s="25">
        <v>0.18149999999999999</v>
      </c>
      <c r="N8" s="25">
        <v>0.40139999999999998</v>
      </c>
      <c r="O8" s="25">
        <v>0.15260000000000001</v>
      </c>
    </row>
    <row r="9" spans="1:15" ht="15.95" customHeight="1" x14ac:dyDescent="0.25">
      <c r="A9" s="22">
        <v>31</v>
      </c>
      <c r="B9" s="23">
        <v>1.9032</v>
      </c>
      <c r="C9" s="23">
        <v>3.0499000000000001</v>
      </c>
      <c r="D9" s="23">
        <v>2.5447000000000002</v>
      </c>
      <c r="E9" s="23">
        <v>2.3233000000000001</v>
      </c>
      <c r="F9" s="23">
        <v>2.8971</v>
      </c>
      <c r="G9" s="23">
        <v>2.9262000000000001</v>
      </c>
      <c r="H9" s="23">
        <v>0.13880000000000001</v>
      </c>
      <c r="I9" s="23">
        <v>4.9399999999999999E-2</v>
      </c>
      <c r="J9" s="23">
        <v>0.12859999999999999</v>
      </c>
      <c r="K9" s="23">
        <v>4.7300000000000002E-2</v>
      </c>
      <c r="L9" s="23">
        <v>0.502</v>
      </c>
      <c r="M9" s="23">
        <v>0.15690000000000001</v>
      </c>
      <c r="N9" s="23">
        <v>0.5282</v>
      </c>
      <c r="O9" s="23">
        <v>0.13819999999999999</v>
      </c>
    </row>
    <row r="10" spans="1:15" ht="15.95" customHeight="1" x14ac:dyDescent="0.25">
      <c r="A10" s="24">
        <v>36</v>
      </c>
      <c r="B10" s="25">
        <v>1.8869</v>
      </c>
      <c r="C10" s="25">
        <v>2.9853000000000001</v>
      </c>
      <c r="D10" s="25">
        <v>2.4491000000000001</v>
      </c>
      <c r="E10" s="25">
        <v>2.3159999999999998</v>
      </c>
      <c r="F10" s="25">
        <v>2.7909999999999999</v>
      </c>
      <c r="G10" s="25">
        <v>2.7728999999999999</v>
      </c>
      <c r="H10" s="25">
        <v>0.16339999999999999</v>
      </c>
      <c r="I10" s="25">
        <v>5.79E-2</v>
      </c>
      <c r="J10" s="25">
        <v>0.1525</v>
      </c>
      <c r="K10" s="25">
        <v>5.1799999999999999E-2</v>
      </c>
      <c r="L10" s="25">
        <v>0.4713</v>
      </c>
      <c r="M10" s="25">
        <v>0.21629999999999999</v>
      </c>
      <c r="N10" s="25">
        <v>0.44940000000000002</v>
      </c>
      <c r="O10" s="25">
        <v>0.20549999999999999</v>
      </c>
    </row>
    <row r="11" spans="1:15" ht="15.95" customHeight="1" x14ac:dyDescent="0.25">
      <c r="A11" s="22">
        <v>41</v>
      </c>
      <c r="B11" s="23">
        <v>1.8188</v>
      </c>
      <c r="C11" s="23">
        <v>2.9508000000000001</v>
      </c>
      <c r="D11" s="23">
        <v>2.3815</v>
      </c>
      <c r="E11" s="23">
        <v>2.2465000000000002</v>
      </c>
      <c r="F11" s="23">
        <v>2.7932000000000001</v>
      </c>
      <c r="G11" s="23">
        <v>2.7766000000000002</v>
      </c>
      <c r="H11" s="23">
        <v>0.18659999999999999</v>
      </c>
      <c r="I11" s="23">
        <v>7.3700000000000002E-2</v>
      </c>
      <c r="J11" s="23">
        <v>0.1741</v>
      </c>
      <c r="K11" s="23">
        <v>6.7199999999999996E-2</v>
      </c>
      <c r="L11" s="23">
        <v>0.24440000000000001</v>
      </c>
      <c r="M11" s="23">
        <v>0.24540000000000001</v>
      </c>
      <c r="N11" s="23">
        <v>0.22500000000000001</v>
      </c>
      <c r="O11" s="23">
        <v>0.22450000000000001</v>
      </c>
    </row>
    <row r="12" spans="1:15" ht="15.95" customHeight="1" x14ac:dyDescent="0.25">
      <c r="A12" s="24">
        <v>46</v>
      </c>
      <c r="B12" s="25">
        <v>1.7879</v>
      </c>
      <c r="C12" s="25">
        <v>2.8570000000000002</v>
      </c>
      <c r="D12" s="25">
        <v>2.3399000000000001</v>
      </c>
      <c r="E12" s="25">
        <v>2.2843</v>
      </c>
      <c r="F12" s="25">
        <v>2.6473</v>
      </c>
      <c r="G12" s="25">
        <v>2.7107999999999999</v>
      </c>
      <c r="H12" s="25">
        <v>0.19159999999999999</v>
      </c>
      <c r="I12" s="25">
        <v>7.1099999999999997E-2</v>
      </c>
      <c r="J12" s="25">
        <v>0.18820000000000001</v>
      </c>
      <c r="K12" s="25">
        <v>6.8900000000000003E-2</v>
      </c>
      <c r="L12" s="25">
        <v>0.47339999999999999</v>
      </c>
      <c r="M12" s="25">
        <v>0.25219999999999998</v>
      </c>
      <c r="N12" s="25">
        <v>0.47439999999999999</v>
      </c>
      <c r="O12" s="25">
        <v>0.24610000000000001</v>
      </c>
    </row>
    <row r="13" spans="1:15" ht="15.95" customHeight="1" x14ac:dyDescent="0.25">
      <c r="A13" s="22">
        <v>51</v>
      </c>
      <c r="B13" s="23">
        <v>1.7850999999999999</v>
      </c>
      <c r="C13" s="23">
        <v>2.9192</v>
      </c>
      <c r="D13" s="23">
        <v>2.3561999999999999</v>
      </c>
      <c r="E13" s="23">
        <v>2.2625999999999999</v>
      </c>
      <c r="F13" s="23">
        <v>2.6143999999999998</v>
      </c>
      <c r="G13" s="23">
        <v>2.7309000000000001</v>
      </c>
      <c r="H13" s="23">
        <v>0.1923</v>
      </c>
      <c r="I13" s="23">
        <v>7.1999999999999995E-2</v>
      </c>
      <c r="J13" s="23">
        <v>0.182</v>
      </c>
      <c r="K13" s="23">
        <v>7.3999999999999996E-2</v>
      </c>
      <c r="L13" s="23">
        <v>0.49199999999999999</v>
      </c>
      <c r="M13" s="23">
        <v>0.20319999999999999</v>
      </c>
      <c r="N13" s="23">
        <v>0.49690000000000001</v>
      </c>
      <c r="O13" s="23">
        <v>0.20619999999999999</v>
      </c>
    </row>
    <row r="14" spans="1:15" ht="15.95" customHeight="1" x14ac:dyDescent="0.25">
      <c r="A14" s="24">
        <v>56</v>
      </c>
      <c r="B14" s="25">
        <v>1.7403</v>
      </c>
      <c r="C14" s="25">
        <v>2.8226</v>
      </c>
      <c r="D14" s="25">
        <v>2.246</v>
      </c>
      <c r="E14" s="25">
        <v>2.2440000000000002</v>
      </c>
      <c r="F14" s="25">
        <v>2.6755</v>
      </c>
      <c r="G14" s="25">
        <v>2.6958000000000002</v>
      </c>
      <c r="H14" s="25">
        <v>0.18459999999999999</v>
      </c>
      <c r="I14" s="25">
        <v>7.0999999999999994E-2</v>
      </c>
      <c r="J14" s="25">
        <v>0.17249999999999999</v>
      </c>
      <c r="K14" s="25">
        <v>6.4199999999999993E-2</v>
      </c>
      <c r="L14" s="25">
        <v>0.2288</v>
      </c>
      <c r="M14" s="25">
        <v>0.2485</v>
      </c>
      <c r="N14" s="25">
        <v>0.23769999999999999</v>
      </c>
      <c r="O14" s="25">
        <v>0.2195</v>
      </c>
    </row>
    <row r="15" spans="1:15" ht="15.95" customHeight="1" x14ac:dyDescent="0.25">
      <c r="A15" s="22">
        <v>61</v>
      </c>
      <c r="B15" s="23">
        <v>1.7464</v>
      </c>
      <c r="C15" s="23">
        <v>2.7536</v>
      </c>
      <c r="D15" s="23">
        <v>2.2330999999999999</v>
      </c>
      <c r="E15" s="23">
        <v>2.202</v>
      </c>
      <c r="F15" s="23">
        <v>2.6440999999999999</v>
      </c>
      <c r="G15" s="23">
        <v>2.6686000000000001</v>
      </c>
      <c r="H15" s="23">
        <v>0.21529999999999999</v>
      </c>
      <c r="I15" s="23">
        <v>8.8599999999999998E-2</v>
      </c>
      <c r="J15" s="23">
        <v>0.2056</v>
      </c>
      <c r="K15" s="23">
        <v>8.4699999999999998E-2</v>
      </c>
      <c r="L15" s="23">
        <v>0.2621</v>
      </c>
      <c r="M15" s="23">
        <v>0.24970000000000001</v>
      </c>
      <c r="N15" s="23">
        <v>0.25700000000000001</v>
      </c>
      <c r="O15" s="23">
        <v>0.24199999999999999</v>
      </c>
    </row>
    <row r="16" spans="1:15" ht="15.95" customHeight="1" x14ac:dyDescent="0.25">
      <c r="A16" s="24">
        <v>66</v>
      </c>
      <c r="B16" s="25">
        <v>1.7068000000000001</v>
      </c>
      <c r="C16" s="25">
        <v>2.7770000000000001</v>
      </c>
      <c r="D16" s="25">
        <v>2.2025999999999999</v>
      </c>
      <c r="E16" s="25">
        <v>2.2404999999999999</v>
      </c>
      <c r="F16" s="25">
        <v>2.5463</v>
      </c>
      <c r="G16" s="25">
        <v>2.5316999999999998</v>
      </c>
      <c r="H16" s="25">
        <v>0.21970000000000001</v>
      </c>
      <c r="I16" s="25">
        <v>9.0700000000000003E-2</v>
      </c>
      <c r="J16" s="25">
        <v>0.217</v>
      </c>
      <c r="K16" s="25">
        <v>9.06E-2</v>
      </c>
      <c r="L16" s="25">
        <v>0.51359999999999995</v>
      </c>
      <c r="M16" s="25">
        <v>0.2437</v>
      </c>
      <c r="N16" s="25">
        <v>0.52129999999999999</v>
      </c>
      <c r="O16" s="25">
        <v>0.2487</v>
      </c>
    </row>
    <row r="17" spans="1:15" ht="15.95" customHeight="1" x14ac:dyDescent="0.25">
      <c r="A17" s="22">
        <v>71</v>
      </c>
      <c r="B17" s="23">
        <v>1.673</v>
      </c>
      <c r="C17" s="23">
        <v>2.7078000000000002</v>
      </c>
      <c r="D17" s="23">
        <v>2.1269</v>
      </c>
      <c r="E17" s="23">
        <v>2.2025999999999999</v>
      </c>
      <c r="F17" s="23">
        <v>2.5661999999999998</v>
      </c>
      <c r="G17" s="23">
        <v>2.5251999999999999</v>
      </c>
      <c r="H17" s="23">
        <v>0.2157</v>
      </c>
      <c r="I17" s="23">
        <v>8.8400000000000006E-2</v>
      </c>
      <c r="J17" s="23">
        <v>0.20080000000000001</v>
      </c>
      <c r="K17" s="23">
        <v>8.0299999999999996E-2</v>
      </c>
      <c r="L17" s="23">
        <v>0.2397</v>
      </c>
      <c r="M17" s="23">
        <v>0.24859999999999999</v>
      </c>
      <c r="N17" s="23">
        <v>0.23449999999999999</v>
      </c>
      <c r="O17" s="23">
        <v>0.248</v>
      </c>
    </row>
    <row r="18" spans="1:15" ht="15.95" customHeight="1" x14ac:dyDescent="0.25">
      <c r="A18" s="24">
        <v>76</v>
      </c>
      <c r="B18" s="25">
        <v>1.6915</v>
      </c>
      <c r="C18" s="25">
        <v>2.6947000000000001</v>
      </c>
      <c r="D18" s="25">
        <v>2.1434000000000002</v>
      </c>
      <c r="E18" s="25">
        <v>2.1856</v>
      </c>
      <c r="F18" s="25">
        <v>2.4927000000000001</v>
      </c>
      <c r="G18" s="25">
        <v>2.5110000000000001</v>
      </c>
      <c r="H18" s="25">
        <v>0.2215</v>
      </c>
      <c r="I18" s="25">
        <v>8.9800000000000005E-2</v>
      </c>
      <c r="J18" s="25">
        <v>0.2162</v>
      </c>
      <c r="K18" s="25">
        <v>8.5099999999999995E-2</v>
      </c>
      <c r="L18" s="25">
        <v>0.25390000000000001</v>
      </c>
      <c r="M18" s="25">
        <v>0.29530000000000001</v>
      </c>
      <c r="N18" s="25">
        <v>0.2555</v>
      </c>
      <c r="O18" s="25">
        <v>0.28160000000000002</v>
      </c>
    </row>
    <row r="19" spans="1:15" ht="15.95" customHeight="1" x14ac:dyDescent="0.25">
      <c r="A19" s="22">
        <v>81</v>
      </c>
      <c r="B19" s="23">
        <v>1.6417999999999999</v>
      </c>
      <c r="C19" s="23">
        <v>2.6286999999999998</v>
      </c>
      <c r="D19" s="23">
        <v>2.0485000000000002</v>
      </c>
      <c r="E19" s="23">
        <v>2.1842999999999999</v>
      </c>
      <c r="F19" s="23">
        <v>2.5141</v>
      </c>
      <c r="G19" s="23">
        <v>2.5076000000000001</v>
      </c>
      <c r="H19" s="23">
        <v>0.2145</v>
      </c>
      <c r="I19" s="23">
        <v>9.0200000000000002E-2</v>
      </c>
      <c r="J19" s="23">
        <v>0.20619999999999999</v>
      </c>
      <c r="K19" s="23">
        <v>8.48E-2</v>
      </c>
      <c r="L19" s="23">
        <v>0.25569999999999998</v>
      </c>
      <c r="M19" s="23">
        <v>0.28510000000000002</v>
      </c>
      <c r="N19" s="23">
        <v>0.51380000000000003</v>
      </c>
      <c r="O19" s="23">
        <v>0.2596</v>
      </c>
    </row>
    <row r="20" spans="1:15" ht="15.95" customHeight="1" x14ac:dyDescent="0.25">
      <c r="A20" s="24">
        <v>86</v>
      </c>
      <c r="B20" s="25">
        <v>1.6303000000000001</v>
      </c>
      <c r="C20" s="25">
        <v>2.6274000000000002</v>
      </c>
      <c r="D20" s="25">
        <v>2.0546000000000002</v>
      </c>
      <c r="E20" s="25">
        <v>2.1644999999999999</v>
      </c>
      <c r="F20" s="25">
        <v>2.4548999999999999</v>
      </c>
      <c r="G20" s="25">
        <v>2.4659</v>
      </c>
      <c r="H20" s="25">
        <v>0.23419999999999999</v>
      </c>
      <c r="I20" s="25">
        <v>9.8299999999999998E-2</v>
      </c>
      <c r="J20" s="25">
        <v>0.2208</v>
      </c>
      <c r="K20" s="25">
        <v>0.09</v>
      </c>
      <c r="L20" s="25">
        <v>0.2404</v>
      </c>
      <c r="M20" s="25">
        <v>0.307</v>
      </c>
      <c r="N20" s="25">
        <v>0.24629999999999999</v>
      </c>
      <c r="O20" s="25">
        <v>0.28799999999999998</v>
      </c>
    </row>
    <row r="21" spans="1:15" ht="15.95" customHeight="1" x14ac:dyDescent="0.25">
      <c r="A21" s="22">
        <v>91</v>
      </c>
      <c r="B21" s="23">
        <v>1.6054999999999999</v>
      </c>
      <c r="C21" s="23">
        <v>2.6440000000000001</v>
      </c>
      <c r="D21" s="23">
        <v>2.0257000000000001</v>
      </c>
      <c r="E21" s="23">
        <v>2.1553</v>
      </c>
      <c r="F21" s="23">
        <v>2.4226999999999999</v>
      </c>
      <c r="G21" s="23">
        <v>2.4710000000000001</v>
      </c>
      <c r="H21" s="23">
        <v>0.23419999999999999</v>
      </c>
      <c r="I21" s="23">
        <v>0.1019</v>
      </c>
      <c r="J21" s="23">
        <v>0.2198</v>
      </c>
      <c r="K21" s="23">
        <v>9.2100000000000001E-2</v>
      </c>
      <c r="L21" s="23">
        <v>0.3</v>
      </c>
      <c r="M21" s="23">
        <v>0.29370000000000002</v>
      </c>
      <c r="N21" s="23">
        <v>0.30930000000000002</v>
      </c>
      <c r="O21" s="23">
        <v>0.28199999999999997</v>
      </c>
    </row>
    <row r="22" spans="1:15" ht="15.95" customHeight="1" x14ac:dyDescent="0.25">
      <c r="A22" s="24">
        <v>96</v>
      </c>
      <c r="B22" s="25">
        <v>1.6113</v>
      </c>
      <c r="C22" s="25">
        <v>2.5907</v>
      </c>
      <c r="D22" s="25">
        <v>1.9906999999999999</v>
      </c>
      <c r="E22" s="25">
        <v>2.1497999999999999</v>
      </c>
      <c r="F22" s="25">
        <v>2.3974000000000002</v>
      </c>
      <c r="G22" s="25">
        <v>2.4430999999999998</v>
      </c>
      <c r="H22" s="25">
        <v>0.23960000000000001</v>
      </c>
      <c r="I22" s="25">
        <v>0.10829999999999999</v>
      </c>
      <c r="J22" s="25">
        <v>0.2238</v>
      </c>
      <c r="K22" s="25">
        <v>0.1004</v>
      </c>
      <c r="L22" s="25">
        <v>0.32169999999999999</v>
      </c>
      <c r="M22" s="25">
        <v>0.2908</v>
      </c>
      <c r="N22" s="25">
        <v>0.3332</v>
      </c>
      <c r="O22" s="25">
        <v>0.2671</v>
      </c>
    </row>
    <row r="23" spans="1:15" ht="15.95" customHeight="1" x14ac:dyDescent="0.25">
      <c r="A23" s="22">
        <v>101</v>
      </c>
      <c r="B23" s="23">
        <v>1.5793999999999999</v>
      </c>
      <c r="C23" s="23">
        <v>2.5396000000000001</v>
      </c>
      <c r="D23" s="23">
        <v>1.9746999999999999</v>
      </c>
      <c r="E23" s="23">
        <v>2.1286999999999998</v>
      </c>
      <c r="F23" s="23">
        <v>2.4095</v>
      </c>
      <c r="G23" s="23">
        <v>2.3052000000000001</v>
      </c>
      <c r="H23" s="23">
        <v>0.26340000000000002</v>
      </c>
      <c r="I23" s="23">
        <v>0.1245</v>
      </c>
      <c r="J23" s="23">
        <v>0.24679999999999999</v>
      </c>
      <c r="K23" s="23">
        <v>0.1177</v>
      </c>
      <c r="L23" s="23">
        <v>0.2913</v>
      </c>
      <c r="M23" s="23">
        <v>0.27450000000000002</v>
      </c>
      <c r="N23" s="23">
        <v>0.33250000000000002</v>
      </c>
      <c r="O23" s="23">
        <v>0.28499999999999998</v>
      </c>
    </row>
    <row r="24" spans="1:15" ht="15.95" customHeight="1" x14ac:dyDescent="0.25">
      <c r="A24" s="24">
        <v>106</v>
      </c>
      <c r="B24" s="25">
        <v>1.5576000000000001</v>
      </c>
      <c r="C24" s="25">
        <v>2.5325000000000002</v>
      </c>
      <c r="D24" s="25">
        <v>1.8987000000000001</v>
      </c>
      <c r="E24" s="25">
        <v>2.1774</v>
      </c>
      <c r="F24" s="25">
        <v>2.3938000000000001</v>
      </c>
      <c r="G24" s="25">
        <v>2.3965000000000001</v>
      </c>
      <c r="H24" s="25">
        <v>0.2414</v>
      </c>
      <c r="I24" s="25">
        <v>0.1048</v>
      </c>
      <c r="J24" s="25">
        <v>0.22770000000000001</v>
      </c>
      <c r="K24" s="25">
        <v>0.1011</v>
      </c>
      <c r="L24" s="25">
        <v>0.28399999999999997</v>
      </c>
      <c r="M24" s="25">
        <v>0.3261</v>
      </c>
      <c r="N24" s="25">
        <v>0.28549999999999998</v>
      </c>
      <c r="O24" s="25">
        <v>0.31209999999999999</v>
      </c>
    </row>
    <row r="25" spans="1:15" ht="15.95" customHeight="1" x14ac:dyDescent="0.25">
      <c r="A25" s="22">
        <v>111</v>
      </c>
      <c r="B25" s="23">
        <v>1.5448999999999999</v>
      </c>
      <c r="C25" s="23">
        <v>2.5771000000000002</v>
      </c>
      <c r="D25" s="23">
        <v>1.8942000000000001</v>
      </c>
      <c r="E25" s="23">
        <v>2.1362000000000001</v>
      </c>
      <c r="F25" s="23">
        <v>2.3424</v>
      </c>
      <c r="G25" s="23">
        <v>2.3227000000000002</v>
      </c>
      <c r="H25" s="23">
        <v>0.27029999999999998</v>
      </c>
      <c r="I25" s="23">
        <v>0.12520000000000001</v>
      </c>
      <c r="J25" s="23">
        <v>0.26140000000000002</v>
      </c>
      <c r="K25" s="23">
        <v>0.1168</v>
      </c>
      <c r="L25" s="23">
        <v>0.31950000000000001</v>
      </c>
      <c r="M25" s="23">
        <v>0.3231</v>
      </c>
      <c r="N25" s="23">
        <v>0.29459999999999997</v>
      </c>
      <c r="O25" s="23">
        <v>0.32819999999999999</v>
      </c>
    </row>
    <row r="26" spans="1:15" ht="15.95" customHeight="1" x14ac:dyDescent="0.25">
      <c r="A26" s="24">
        <v>116</v>
      </c>
      <c r="B26" s="25">
        <v>1.5373000000000001</v>
      </c>
      <c r="C26" s="25">
        <v>2.5125000000000002</v>
      </c>
      <c r="D26" s="25">
        <v>1.8845000000000001</v>
      </c>
      <c r="E26" s="25">
        <v>2.1046</v>
      </c>
      <c r="F26" s="25">
        <v>2.3319999999999999</v>
      </c>
      <c r="G26" s="25">
        <v>2.3149999999999999</v>
      </c>
      <c r="H26" s="25">
        <v>0.27279999999999999</v>
      </c>
      <c r="I26" s="25">
        <v>0.1215</v>
      </c>
      <c r="J26" s="25">
        <v>0.26229999999999998</v>
      </c>
      <c r="K26" s="25">
        <v>0.1139</v>
      </c>
      <c r="L26" s="25">
        <v>0.30259999999999998</v>
      </c>
      <c r="M26" s="25">
        <v>0.34649999999999997</v>
      </c>
      <c r="N26" s="25">
        <v>0.28070000000000001</v>
      </c>
      <c r="O26" s="25">
        <v>0.3271</v>
      </c>
    </row>
    <row r="27" spans="1:15" ht="15.95" customHeight="1" x14ac:dyDescent="0.25">
      <c r="A27" s="22">
        <v>121</v>
      </c>
      <c r="B27" s="23">
        <v>1.5384</v>
      </c>
      <c r="C27" s="23">
        <v>2.5425</v>
      </c>
      <c r="D27" s="23">
        <v>1.8808</v>
      </c>
      <c r="E27" s="23">
        <v>2.1152000000000002</v>
      </c>
      <c r="F27" s="23">
        <v>2.3418000000000001</v>
      </c>
      <c r="G27" s="23">
        <v>2.3064</v>
      </c>
      <c r="H27" s="23">
        <v>0.26179999999999998</v>
      </c>
      <c r="I27" s="23">
        <v>0.12239999999999999</v>
      </c>
      <c r="J27" s="23">
        <v>0.24690000000000001</v>
      </c>
      <c r="K27" s="23">
        <v>0.1091</v>
      </c>
      <c r="L27" s="23">
        <v>0.27560000000000001</v>
      </c>
      <c r="M27" s="23">
        <v>0.33179999999999998</v>
      </c>
      <c r="N27" s="23">
        <v>0.25490000000000002</v>
      </c>
      <c r="O27" s="23">
        <v>0.31130000000000002</v>
      </c>
    </row>
    <row r="28" spans="1:15" ht="15.95" customHeight="1" x14ac:dyDescent="0.25">
      <c r="A28" s="24">
        <v>126</v>
      </c>
      <c r="B28" s="25">
        <v>1.4939</v>
      </c>
      <c r="C28" s="25">
        <v>2.5173000000000001</v>
      </c>
      <c r="D28" s="25">
        <v>1.8280000000000001</v>
      </c>
      <c r="E28" s="25">
        <v>2.1282999999999999</v>
      </c>
      <c r="F28" s="25">
        <v>2.3864999999999998</v>
      </c>
      <c r="G28" s="25">
        <v>2.3201000000000001</v>
      </c>
      <c r="H28" s="25">
        <v>0.26869999999999999</v>
      </c>
      <c r="I28" s="25">
        <v>0.123</v>
      </c>
      <c r="J28" s="25">
        <v>0.25769999999999998</v>
      </c>
      <c r="K28" s="25">
        <v>0.113</v>
      </c>
      <c r="L28" s="25">
        <v>0.30120000000000002</v>
      </c>
      <c r="M28" s="25">
        <v>0.32690000000000002</v>
      </c>
      <c r="N28" s="25">
        <v>0.30120000000000002</v>
      </c>
      <c r="O28" s="25">
        <v>0.31369999999999998</v>
      </c>
    </row>
    <row r="29" spans="1:15" ht="15.95" customHeight="1" x14ac:dyDescent="0.25">
      <c r="A29" s="22">
        <v>131</v>
      </c>
      <c r="B29" s="23">
        <v>1.5306999999999999</v>
      </c>
      <c r="C29" s="23">
        <v>2.4679000000000002</v>
      </c>
      <c r="D29" s="23">
        <v>1.8228</v>
      </c>
      <c r="E29" s="23">
        <v>2.1192000000000002</v>
      </c>
      <c r="F29" s="23">
        <v>2.3431000000000002</v>
      </c>
      <c r="G29" s="23">
        <v>2.2703000000000002</v>
      </c>
      <c r="H29" s="23">
        <v>0.3</v>
      </c>
      <c r="I29" s="23">
        <v>0.14130000000000001</v>
      </c>
      <c r="J29" s="23">
        <v>0.29189999999999999</v>
      </c>
      <c r="K29" s="23">
        <v>0.1321</v>
      </c>
      <c r="L29" s="23">
        <v>0.40920000000000001</v>
      </c>
      <c r="M29" s="23">
        <v>0.30590000000000001</v>
      </c>
      <c r="N29" s="23">
        <v>0.41449999999999998</v>
      </c>
      <c r="O29" s="23">
        <v>0.30559999999999998</v>
      </c>
    </row>
    <row r="30" spans="1:15" ht="15.95" customHeight="1" x14ac:dyDescent="0.25">
      <c r="A30" s="24">
        <v>136</v>
      </c>
      <c r="B30" s="25">
        <v>1.5245</v>
      </c>
      <c r="C30" s="25">
        <v>2.4540999999999999</v>
      </c>
      <c r="D30" s="25">
        <v>1.8173999999999999</v>
      </c>
      <c r="E30" s="25">
        <v>2.1093999999999999</v>
      </c>
      <c r="F30" s="25">
        <v>2.3041</v>
      </c>
      <c r="G30" s="25">
        <v>2.1996000000000002</v>
      </c>
      <c r="H30" s="25">
        <v>0.2903</v>
      </c>
      <c r="I30" s="25">
        <v>0.1394</v>
      </c>
      <c r="J30" s="25">
        <v>0.28970000000000001</v>
      </c>
      <c r="K30" s="25">
        <v>0.1305</v>
      </c>
      <c r="L30" s="25">
        <v>0.38400000000000001</v>
      </c>
      <c r="M30" s="25">
        <v>0.26500000000000001</v>
      </c>
      <c r="N30" s="25">
        <v>0.38600000000000001</v>
      </c>
      <c r="O30" s="25">
        <v>0.26369999999999999</v>
      </c>
    </row>
    <row r="31" spans="1:15" ht="15.95" customHeight="1" x14ac:dyDescent="0.25">
      <c r="A31" s="22">
        <v>141</v>
      </c>
      <c r="B31" s="23">
        <v>1.4864999999999999</v>
      </c>
      <c r="C31" s="23">
        <v>2.4864999999999999</v>
      </c>
      <c r="D31" s="23">
        <v>1.7791999999999999</v>
      </c>
      <c r="E31" s="23">
        <v>2.093</v>
      </c>
      <c r="F31" s="23">
        <v>2.3262</v>
      </c>
      <c r="G31" s="23">
        <v>2.2454999999999998</v>
      </c>
      <c r="H31" s="23">
        <v>0.32</v>
      </c>
      <c r="I31" s="23">
        <v>0.15390000000000001</v>
      </c>
      <c r="J31" s="23">
        <v>0.30840000000000001</v>
      </c>
      <c r="K31" s="23">
        <v>0.1447</v>
      </c>
      <c r="L31" s="23">
        <v>0.33850000000000002</v>
      </c>
      <c r="M31" s="23">
        <v>0.37040000000000001</v>
      </c>
      <c r="N31" s="23">
        <v>0.34200000000000003</v>
      </c>
      <c r="O31" s="23">
        <v>0.34899999999999998</v>
      </c>
    </row>
    <row r="32" spans="1:15" ht="15.95" customHeight="1" x14ac:dyDescent="0.25">
      <c r="A32" s="24">
        <v>146</v>
      </c>
      <c r="B32" s="25">
        <v>1.4480999999999999</v>
      </c>
      <c r="C32" s="25">
        <v>2.4453</v>
      </c>
      <c r="D32" s="25">
        <v>1.7212000000000001</v>
      </c>
      <c r="E32" s="25">
        <v>2.0931999999999999</v>
      </c>
      <c r="F32" s="25">
        <v>2.3134000000000001</v>
      </c>
      <c r="G32" s="25">
        <v>2.3534000000000002</v>
      </c>
      <c r="H32" s="25">
        <v>0.29559999999999997</v>
      </c>
      <c r="I32" s="25">
        <v>0.13389999999999999</v>
      </c>
      <c r="J32" s="25">
        <v>0.28889999999999999</v>
      </c>
      <c r="K32" s="25">
        <v>0.12889999999999999</v>
      </c>
      <c r="L32" s="25">
        <v>0.32850000000000001</v>
      </c>
      <c r="M32" s="25">
        <v>0.36559999999999998</v>
      </c>
      <c r="N32" s="25">
        <v>0.32029999999999997</v>
      </c>
      <c r="O32" s="25">
        <v>0.35399999999999998</v>
      </c>
    </row>
    <row r="33" spans="1:15" ht="15.95" customHeight="1" x14ac:dyDescent="0.25">
      <c r="A33" s="22">
        <v>151</v>
      </c>
      <c r="B33" s="23">
        <v>1.4663999999999999</v>
      </c>
      <c r="C33" s="23">
        <v>2.4047000000000001</v>
      </c>
      <c r="D33" s="23">
        <v>1.7454000000000001</v>
      </c>
      <c r="E33" s="23">
        <v>2.0585</v>
      </c>
      <c r="F33" s="23">
        <v>2.2791000000000001</v>
      </c>
      <c r="G33" s="23">
        <v>2.2534000000000001</v>
      </c>
      <c r="H33" s="23">
        <v>0.30409999999999998</v>
      </c>
      <c r="I33" s="23">
        <v>0.15049999999999999</v>
      </c>
      <c r="J33" s="23">
        <v>0.30740000000000001</v>
      </c>
      <c r="K33" s="23">
        <v>0.14369999999999999</v>
      </c>
      <c r="L33" s="23">
        <v>0.38369999999999999</v>
      </c>
      <c r="M33" s="23">
        <v>0.36180000000000001</v>
      </c>
      <c r="N33" s="23">
        <v>0.3846</v>
      </c>
      <c r="O33" s="23">
        <v>0.35</v>
      </c>
    </row>
    <row r="34" spans="1:15" ht="15.95" customHeight="1" x14ac:dyDescent="0.25">
      <c r="A34" s="24">
        <v>156</v>
      </c>
      <c r="B34" s="25">
        <v>1.4572000000000001</v>
      </c>
      <c r="C34" s="25">
        <v>2.3618000000000001</v>
      </c>
      <c r="D34" s="25">
        <v>1.6704000000000001</v>
      </c>
      <c r="E34" s="25">
        <v>2.0823</v>
      </c>
      <c r="F34" s="25">
        <v>2.2599</v>
      </c>
      <c r="G34" s="25">
        <v>2.3536999999999999</v>
      </c>
      <c r="H34" s="25">
        <v>0.3095</v>
      </c>
      <c r="I34" s="25">
        <v>0.14849999999999999</v>
      </c>
      <c r="J34" s="25">
        <v>0.30080000000000001</v>
      </c>
      <c r="K34" s="25">
        <v>0.13819999999999999</v>
      </c>
      <c r="L34" s="25">
        <v>0.32890000000000003</v>
      </c>
      <c r="M34" s="25">
        <v>0.39040000000000002</v>
      </c>
      <c r="N34" s="25">
        <v>0.32050000000000001</v>
      </c>
      <c r="O34" s="25">
        <v>0.37809999999999999</v>
      </c>
    </row>
    <row r="35" spans="1:15" ht="15.95" customHeight="1" x14ac:dyDescent="0.25">
      <c r="A35" s="22">
        <v>161</v>
      </c>
      <c r="B35" s="23">
        <v>1.4124000000000001</v>
      </c>
      <c r="C35" s="23">
        <v>2.3841000000000001</v>
      </c>
      <c r="D35" s="23">
        <v>1.6564000000000001</v>
      </c>
      <c r="E35" s="23">
        <v>2.0398000000000001</v>
      </c>
      <c r="F35" s="23">
        <v>2.3047</v>
      </c>
      <c r="G35" s="23">
        <v>2.2544</v>
      </c>
      <c r="H35" s="23">
        <v>0.307</v>
      </c>
      <c r="I35" s="23">
        <v>0.1457</v>
      </c>
      <c r="J35" s="23">
        <v>0.29820000000000002</v>
      </c>
      <c r="K35" s="23">
        <v>0.1318</v>
      </c>
      <c r="L35" s="23">
        <v>0.33610000000000001</v>
      </c>
      <c r="M35" s="23">
        <v>0.35049999999999998</v>
      </c>
      <c r="N35" s="23">
        <v>0.3301</v>
      </c>
      <c r="O35" s="23">
        <v>0.35370000000000001</v>
      </c>
    </row>
    <row r="36" spans="1:15" ht="15.95" customHeight="1" x14ac:dyDescent="0.25">
      <c r="A36" s="24">
        <v>166</v>
      </c>
      <c r="B36" s="25">
        <v>1.393</v>
      </c>
      <c r="C36" s="25">
        <v>2.2911999999999999</v>
      </c>
      <c r="D36" s="25">
        <v>1.6419999999999999</v>
      </c>
      <c r="E36" s="25">
        <v>2.0785999999999998</v>
      </c>
      <c r="F36" s="25">
        <v>2.2443</v>
      </c>
      <c r="G36" s="25">
        <v>2.2753999999999999</v>
      </c>
      <c r="H36" s="25">
        <v>0.33689999999999998</v>
      </c>
      <c r="I36" s="25">
        <v>0.15939999999999999</v>
      </c>
      <c r="J36" s="25">
        <v>0.3276</v>
      </c>
      <c r="K36" s="25">
        <v>0.1497</v>
      </c>
      <c r="L36" s="25">
        <v>0.34910000000000002</v>
      </c>
      <c r="M36" s="25">
        <v>0.41539999999999999</v>
      </c>
      <c r="N36" s="25">
        <v>0.35189999999999999</v>
      </c>
      <c r="O36" s="25">
        <v>0.41549999999999998</v>
      </c>
    </row>
    <row r="37" spans="1:15" ht="15.95" customHeight="1" x14ac:dyDescent="0.25">
      <c r="A37" s="22">
        <v>171</v>
      </c>
      <c r="B37" s="23">
        <v>1.448</v>
      </c>
      <c r="C37" s="23">
        <v>2.3803999999999998</v>
      </c>
      <c r="D37" s="23">
        <v>1.6994</v>
      </c>
      <c r="E37" s="23">
        <v>2.0691999999999999</v>
      </c>
      <c r="F37" s="23">
        <v>2.2360000000000002</v>
      </c>
      <c r="G37" s="23">
        <v>2.3797999999999999</v>
      </c>
      <c r="H37" s="23">
        <v>0.31380000000000002</v>
      </c>
      <c r="I37" s="23">
        <v>0.1444</v>
      </c>
      <c r="J37" s="23">
        <v>0.3009</v>
      </c>
      <c r="K37" s="23">
        <v>0.13389999999999999</v>
      </c>
      <c r="L37" s="23">
        <v>0.35020000000000001</v>
      </c>
      <c r="M37" s="23">
        <v>0.36009999999999998</v>
      </c>
      <c r="N37" s="23">
        <v>0.32579999999999998</v>
      </c>
      <c r="O37" s="23">
        <v>0.38500000000000001</v>
      </c>
    </row>
    <row r="38" spans="1:15" ht="15.95" customHeight="1" x14ac:dyDescent="0.25">
      <c r="A38" s="24">
        <v>176</v>
      </c>
      <c r="B38" s="25">
        <v>1.3924000000000001</v>
      </c>
      <c r="C38" s="25">
        <v>2.2673999999999999</v>
      </c>
      <c r="D38" s="25">
        <v>1.6126</v>
      </c>
      <c r="E38" s="25">
        <v>2.0638999999999998</v>
      </c>
      <c r="F38" s="25">
        <v>2.2480000000000002</v>
      </c>
      <c r="G38" s="25">
        <v>2.4005000000000001</v>
      </c>
      <c r="H38" s="25">
        <v>0.30520000000000003</v>
      </c>
      <c r="I38" s="25">
        <v>0.13669999999999999</v>
      </c>
      <c r="J38" s="25">
        <v>0.30030000000000001</v>
      </c>
      <c r="K38" s="25">
        <v>0.13250000000000001</v>
      </c>
      <c r="L38" s="25">
        <v>0.34189999999999998</v>
      </c>
      <c r="M38" s="25">
        <v>0.35630000000000001</v>
      </c>
      <c r="N38" s="25">
        <v>0.34770000000000001</v>
      </c>
      <c r="O38" s="25">
        <v>0.36120000000000002</v>
      </c>
    </row>
    <row r="39" spans="1:15" ht="15.95" customHeight="1" x14ac:dyDescent="0.25">
      <c r="A39" s="22">
        <v>181</v>
      </c>
      <c r="B39" s="23">
        <v>1.3864000000000001</v>
      </c>
      <c r="C39" s="23">
        <v>2.2936999999999999</v>
      </c>
      <c r="D39" s="23">
        <v>1.6062000000000001</v>
      </c>
      <c r="E39" s="23">
        <v>2.0377999999999998</v>
      </c>
      <c r="F39" s="23">
        <v>2.2360000000000002</v>
      </c>
      <c r="G39" s="23">
        <v>2.2725</v>
      </c>
      <c r="H39" s="23">
        <v>0.3165</v>
      </c>
      <c r="I39" s="23">
        <v>0.158</v>
      </c>
      <c r="J39" s="23">
        <v>0.30759999999999998</v>
      </c>
      <c r="K39" s="23">
        <v>0.14610000000000001</v>
      </c>
      <c r="L39" s="23">
        <v>0.37119999999999997</v>
      </c>
      <c r="M39" s="23">
        <v>0.36609999999999998</v>
      </c>
      <c r="N39" s="23">
        <v>0.3765</v>
      </c>
      <c r="O39" s="23">
        <v>0.36720000000000003</v>
      </c>
    </row>
    <row r="40" spans="1:15" ht="15.95" customHeight="1" x14ac:dyDescent="0.25">
      <c r="A40" s="24">
        <v>186</v>
      </c>
      <c r="B40" s="25">
        <v>1.3742000000000001</v>
      </c>
      <c r="C40" s="25">
        <v>2.3037999999999998</v>
      </c>
      <c r="D40" s="25">
        <v>1.581</v>
      </c>
      <c r="E40" s="25">
        <v>2.0508000000000002</v>
      </c>
      <c r="F40" s="25">
        <v>2.2296</v>
      </c>
      <c r="G40" s="25">
        <v>2.2259000000000002</v>
      </c>
      <c r="H40" s="25">
        <v>0.32169999999999999</v>
      </c>
      <c r="I40" s="25">
        <v>0.15429999999999999</v>
      </c>
      <c r="J40" s="25">
        <v>0.31819999999999998</v>
      </c>
      <c r="K40" s="25">
        <v>0.1477</v>
      </c>
      <c r="L40" s="25">
        <v>0.36480000000000001</v>
      </c>
      <c r="M40" s="25">
        <v>0.38009999999999999</v>
      </c>
      <c r="N40" s="25">
        <v>0.37980000000000003</v>
      </c>
      <c r="O40" s="25">
        <v>0.3629</v>
      </c>
    </row>
    <row r="41" spans="1:15" ht="15.95" customHeight="1" x14ac:dyDescent="0.25">
      <c r="A41" s="22">
        <v>191</v>
      </c>
      <c r="B41" s="23">
        <v>1.3759999999999999</v>
      </c>
      <c r="C41" s="23">
        <v>2.3035999999999999</v>
      </c>
      <c r="D41" s="23">
        <v>1.6019000000000001</v>
      </c>
      <c r="E41" s="23">
        <v>2.0588000000000002</v>
      </c>
      <c r="F41" s="23">
        <v>2.2492000000000001</v>
      </c>
      <c r="G41" s="23">
        <v>2.2280000000000002</v>
      </c>
      <c r="H41" s="23">
        <v>0.34539999999999998</v>
      </c>
      <c r="I41" s="23">
        <v>0.16270000000000001</v>
      </c>
      <c r="J41" s="23">
        <v>0.33929999999999999</v>
      </c>
      <c r="K41" s="23">
        <v>0.15579999999999999</v>
      </c>
      <c r="L41" s="23">
        <v>0.35339999999999999</v>
      </c>
      <c r="M41" s="23">
        <v>0.443</v>
      </c>
      <c r="N41" s="23">
        <v>0.36809999999999998</v>
      </c>
      <c r="O41" s="23">
        <v>0.42970000000000003</v>
      </c>
    </row>
    <row r="42" spans="1:15" ht="15.95" customHeight="1" x14ac:dyDescent="0.25">
      <c r="A42" s="24">
        <v>196</v>
      </c>
      <c r="B42" s="25">
        <v>1.3574999999999999</v>
      </c>
      <c r="C42" s="25">
        <v>2.2475000000000001</v>
      </c>
      <c r="D42" s="25">
        <v>1.5669</v>
      </c>
      <c r="E42" s="25">
        <v>2.0565000000000002</v>
      </c>
      <c r="F42" s="25">
        <v>2.2105000000000001</v>
      </c>
      <c r="G42" s="25">
        <v>2.1669999999999998</v>
      </c>
      <c r="H42" s="25">
        <v>0.33660000000000001</v>
      </c>
      <c r="I42" s="25">
        <v>0.16420000000000001</v>
      </c>
      <c r="J42" s="25">
        <v>0.3382</v>
      </c>
      <c r="K42" s="25">
        <v>0.16350000000000001</v>
      </c>
      <c r="L42" s="25">
        <v>0.378</v>
      </c>
      <c r="M42" s="25">
        <v>0.3881</v>
      </c>
      <c r="N42" s="25">
        <v>0.3841</v>
      </c>
      <c r="O42" s="25">
        <v>0.4199</v>
      </c>
    </row>
    <row r="43" spans="1:15" ht="15.95" customHeight="1" x14ac:dyDescent="0.25">
      <c r="A43" s="22">
        <v>201</v>
      </c>
      <c r="B43" s="23">
        <v>1.3375999999999999</v>
      </c>
      <c r="C43" s="23">
        <v>2.2431000000000001</v>
      </c>
      <c r="D43" s="23">
        <v>1.54</v>
      </c>
      <c r="E43" s="23">
        <v>2.0364</v>
      </c>
      <c r="F43" s="23">
        <v>2.2113</v>
      </c>
      <c r="G43" s="23">
        <v>2.2332000000000001</v>
      </c>
      <c r="H43" s="23">
        <v>0.32579999999999998</v>
      </c>
      <c r="I43" s="23">
        <v>0.16650000000000001</v>
      </c>
      <c r="J43" s="23">
        <v>0.32479999999999998</v>
      </c>
      <c r="K43" s="23">
        <v>0.15909999999999999</v>
      </c>
      <c r="L43" s="23">
        <v>0.3196</v>
      </c>
      <c r="M43" s="23">
        <v>0.43009999999999998</v>
      </c>
      <c r="N43" s="23">
        <v>0.379</v>
      </c>
      <c r="O43" s="23">
        <v>0.36070000000000002</v>
      </c>
    </row>
    <row r="44" spans="1:15" ht="15.95" customHeight="1" x14ac:dyDescent="0.25">
      <c r="A44" s="24">
        <v>206</v>
      </c>
      <c r="B44" s="25">
        <v>1.3203</v>
      </c>
      <c r="C44" s="25">
        <v>2.1970000000000001</v>
      </c>
      <c r="D44" s="25">
        <v>1.5017</v>
      </c>
      <c r="E44" s="25">
        <v>2.0106000000000002</v>
      </c>
      <c r="F44" s="25">
        <v>2.2212999999999998</v>
      </c>
      <c r="G44" s="25">
        <v>2.2490000000000001</v>
      </c>
      <c r="H44" s="25">
        <v>0.35759999999999997</v>
      </c>
      <c r="I44" s="25">
        <v>0.1744</v>
      </c>
      <c r="J44" s="25">
        <v>0.33629999999999999</v>
      </c>
      <c r="K44" s="25">
        <v>0.16089999999999999</v>
      </c>
      <c r="L44" s="25">
        <v>0.38200000000000001</v>
      </c>
      <c r="M44" s="25">
        <v>0.38159999999999999</v>
      </c>
      <c r="N44" s="25">
        <v>0.40360000000000001</v>
      </c>
      <c r="O44" s="25">
        <v>0.35070000000000001</v>
      </c>
    </row>
    <row r="45" spans="1:15" ht="15.95" customHeight="1" x14ac:dyDescent="0.25">
      <c r="A45" s="22">
        <v>211</v>
      </c>
      <c r="B45" s="23">
        <v>1.3141</v>
      </c>
      <c r="C45" s="23">
        <v>2.2128000000000001</v>
      </c>
      <c r="D45" s="23">
        <v>1.4696</v>
      </c>
      <c r="E45" s="23">
        <v>2.0291999999999999</v>
      </c>
      <c r="F45" s="23">
        <v>2.1968000000000001</v>
      </c>
      <c r="G45" s="23">
        <v>2.2326999999999999</v>
      </c>
      <c r="H45" s="23">
        <v>0.3306</v>
      </c>
      <c r="I45" s="23">
        <v>0.15939999999999999</v>
      </c>
      <c r="J45" s="23">
        <v>0.33989999999999998</v>
      </c>
      <c r="K45" s="23">
        <v>0.15359999999999999</v>
      </c>
      <c r="L45" s="23">
        <v>0.42859999999999998</v>
      </c>
      <c r="M45" s="23">
        <v>0.33310000000000001</v>
      </c>
      <c r="N45" s="23">
        <v>0.45050000000000001</v>
      </c>
      <c r="O45" s="23">
        <v>0.34839999999999999</v>
      </c>
    </row>
    <row r="46" spans="1:15" ht="15.95" customHeight="1" x14ac:dyDescent="0.25">
      <c r="A46" s="24">
        <v>216</v>
      </c>
      <c r="B46" s="25">
        <v>1.3383</v>
      </c>
      <c r="C46" s="25">
        <v>2.2311999999999999</v>
      </c>
      <c r="D46" s="25">
        <v>1.5237000000000001</v>
      </c>
      <c r="E46" s="25">
        <v>1.9974000000000001</v>
      </c>
      <c r="F46" s="25">
        <v>2.1953999999999998</v>
      </c>
      <c r="G46" s="25">
        <v>2.2351000000000001</v>
      </c>
      <c r="H46" s="25">
        <v>0.3513</v>
      </c>
      <c r="I46" s="25">
        <v>0.17860000000000001</v>
      </c>
      <c r="J46" s="25">
        <v>0.34949999999999998</v>
      </c>
      <c r="K46" s="25">
        <v>0.1673</v>
      </c>
      <c r="L46" s="25">
        <v>0.38080000000000003</v>
      </c>
      <c r="M46" s="25">
        <v>0.37890000000000001</v>
      </c>
      <c r="N46" s="25">
        <v>0.4073</v>
      </c>
      <c r="O46" s="25">
        <v>0.40329999999999999</v>
      </c>
    </row>
    <row r="47" spans="1:15" ht="15.95" customHeight="1" x14ac:dyDescent="0.25">
      <c r="A47" s="22">
        <v>221</v>
      </c>
      <c r="B47" s="23">
        <v>1.3</v>
      </c>
      <c r="C47" s="23">
        <v>2.1808999999999998</v>
      </c>
      <c r="D47" s="23">
        <v>1.4703999999999999</v>
      </c>
      <c r="E47" s="23">
        <v>2.0049999999999999</v>
      </c>
      <c r="F47" s="23">
        <v>2.2052999999999998</v>
      </c>
      <c r="G47" s="23">
        <v>2.1760000000000002</v>
      </c>
      <c r="H47" s="23">
        <v>0.34749999999999998</v>
      </c>
      <c r="I47" s="23">
        <v>0.1736</v>
      </c>
      <c r="J47" s="23">
        <v>0.35930000000000001</v>
      </c>
      <c r="K47" s="23">
        <v>0.1646</v>
      </c>
      <c r="L47" s="23">
        <v>0.40620000000000001</v>
      </c>
      <c r="M47" s="23">
        <v>0.38729999999999998</v>
      </c>
      <c r="N47" s="23">
        <v>0.40160000000000001</v>
      </c>
      <c r="O47" s="23">
        <v>0.41299999999999998</v>
      </c>
    </row>
    <row r="48" spans="1:15" ht="15.95" customHeight="1" x14ac:dyDescent="0.25">
      <c r="A48" s="24">
        <v>226</v>
      </c>
      <c r="B48" s="25">
        <v>1.3066</v>
      </c>
      <c r="C48" s="25">
        <v>2.1995</v>
      </c>
      <c r="D48" s="25">
        <v>1.4562999999999999</v>
      </c>
      <c r="E48" s="25">
        <v>2.0240999999999998</v>
      </c>
      <c r="F48" s="25">
        <v>2.1901999999999999</v>
      </c>
      <c r="G48" s="25">
        <v>2.1930000000000001</v>
      </c>
      <c r="H48" s="25">
        <v>0.3498</v>
      </c>
      <c r="I48" s="25">
        <v>0.1653</v>
      </c>
      <c r="J48" s="25">
        <v>0.35630000000000001</v>
      </c>
      <c r="K48" s="25">
        <v>0.16420000000000001</v>
      </c>
      <c r="L48" s="25">
        <v>0.39910000000000001</v>
      </c>
      <c r="M48" s="25">
        <v>0.39829999999999999</v>
      </c>
      <c r="N48" s="25">
        <v>0.39389999999999997</v>
      </c>
      <c r="O48" s="25">
        <v>0.43659999999999999</v>
      </c>
    </row>
    <row r="49" spans="1:15" ht="15.95" customHeight="1" x14ac:dyDescent="0.25">
      <c r="A49" s="22">
        <v>231</v>
      </c>
      <c r="B49" s="23">
        <v>1.2978000000000001</v>
      </c>
      <c r="C49" s="23">
        <v>2.1717</v>
      </c>
      <c r="D49" s="23">
        <v>1.4570000000000001</v>
      </c>
      <c r="E49" s="23">
        <v>2.0590999999999999</v>
      </c>
      <c r="F49" s="23">
        <v>2.2225000000000001</v>
      </c>
      <c r="G49" s="23">
        <v>2.1299000000000001</v>
      </c>
      <c r="H49" s="23">
        <v>0.3553</v>
      </c>
      <c r="I49" s="23">
        <v>0.16589999999999999</v>
      </c>
      <c r="J49" s="23">
        <v>0.35920000000000002</v>
      </c>
      <c r="K49" s="23">
        <v>0.1628</v>
      </c>
      <c r="L49" s="23">
        <v>0.34460000000000002</v>
      </c>
      <c r="M49" s="23">
        <v>0.46100000000000002</v>
      </c>
      <c r="N49" s="23">
        <v>0.37240000000000001</v>
      </c>
      <c r="O49" s="23">
        <v>0.45619999999999999</v>
      </c>
    </row>
    <row r="50" spans="1:15" ht="15.95" customHeight="1" x14ac:dyDescent="0.25">
      <c r="A50" s="24">
        <v>236</v>
      </c>
      <c r="B50" s="25">
        <v>1.2730999999999999</v>
      </c>
      <c r="C50" s="25">
        <v>2.1255000000000002</v>
      </c>
      <c r="D50" s="25">
        <v>1.4219999999999999</v>
      </c>
      <c r="E50" s="25">
        <v>2.0325000000000002</v>
      </c>
      <c r="F50" s="25">
        <v>2.1855000000000002</v>
      </c>
      <c r="G50" s="25">
        <v>2.1347</v>
      </c>
      <c r="H50" s="25">
        <v>0.36020000000000002</v>
      </c>
      <c r="I50" s="25">
        <v>0.17580000000000001</v>
      </c>
      <c r="J50" s="25">
        <v>0.36359999999999998</v>
      </c>
      <c r="K50" s="25">
        <v>0.17180000000000001</v>
      </c>
      <c r="L50" s="25">
        <v>0.41959999999999997</v>
      </c>
      <c r="M50" s="25">
        <v>0.34720000000000001</v>
      </c>
      <c r="N50" s="25">
        <v>0.4123</v>
      </c>
      <c r="O50" s="25">
        <v>0.39140000000000003</v>
      </c>
    </row>
    <row r="51" spans="1:15" ht="15.95" customHeight="1" x14ac:dyDescent="0.25">
      <c r="A51" s="22">
        <v>241</v>
      </c>
      <c r="B51" s="23">
        <v>1.2608999999999999</v>
      </c>
      <c r="C51" s="23">
        <v>2.169</v>
      </c>
      <c r="D51" s="23">
        <v>1.4100999999999999</v>
      </c>
      <c r="E51" s="23">
        <v>2.0314000000000001</v>
      </c>
      <c r="F51" s="23">
        <v>2.1930000000000001</v>
      </c>
      <c r="G51" s="23">
        <v>2.2199</v>
      </c>
      <c r="H51" s="23">
        <v>0.36349999999999999</v>
      </c>
      <c r="I51" s="23">
        <v>0.1799</v>
      </c>
      <c r="J51" s="23">
        <v>0.36349999999999999</v>
      </c>
      <c r="K51" s="23">
        <v>0.1709</v>
      </c>
      <c r="L51" s="23">
        <v>0.3957</v>
      </c>
      <c r="M51" s="23">
        <v>0.43869999999999998</v>
      </c>
      <c r="N51" s="23">
        <v>0.40250000000000002</v>
      </c>
      <c r="O51" s="23">
        <v>0.43319999999999997</v>
      </c>
    </row>
    <row r="52" spans="1:15" ht="15.95" customHeight="1" x14ac:dyDescent="0.25">
      <c r="A52" s="24">
        <v>246</v>
      </c>
      <c r="B52" s="25">
        <v>1.2793000000000001</v>
      </c>
      <c r="C52" s="25">
        <v>2.1328</v>
      </c>
      <c r="D52" s="25">
        <v>1.3993</v>
      </c>
      <c r="E52" s="25">
        <v>2.0204</v>
      </c>
      <c r="F52" s="25">
        <v>2.1875</v>
      </c>
      <c r="G52" s="25">
        <v>2.1823000000000001</v>
      </c>
      <c r="H52" s="25">
        <v>0.36309999999999998</v>
      </c>
      <c r="I52" s="25">
        <v>0.17100000000000001</v>
      </c>
      <c r="J52" s="25">
        <v>0.35959999999999998</v>
      </c>
      <c r="K52" s="25">
        <v>0.16700000000000001</v>
      </c>
      <c r="L52" s="25">
        <v>0.37269999999999998</v>
      </c>
      <c r="M52" s="25">
        <v>0.4138</v>
      </c>
      <c r="N52" s="25">
        <v>0.374</v>
      </c>
      <c r="O52" s="25">
        <v>0.4582</v>
      </c>
    </row>
    <row r="53" spans="1:15" ht="15.95" customHeight="1" x14ac:dyDescent="0.25">
      <c r="A53" s="22">
        <v>251</v>
      </c>
      <c r="B53" s="23">
        <v>1.2739</v>
      </c>
      <c r="C53" s="23">
        <v>2.145</v>
      </c>
      <c r="D53" s="23">
        <v>1.3888</v>
      </c>
      <c r="E53" s="23">
        <v>2.0331999999999999</v>
      </c>
      <c r="F53" s="23">
        <v>2.1749000000000001</v>
      </c>
      <c r="G53" s="23">
        <v>2.1518000000000002</v>
      </c>
      <c r="H53" s="23">
        <v>0.38890000000000002</v>
      </c>
      <c r="I53" s="23">
        <v>0.1893</v>
      </c>
      <c r="J53" s="23">
        <v>0.39019999999999999</v>
      </c>
      <c r="K53" s="23">
        <v>0.18459999999999999</v>
      </c>
      <c r="L53" s="23">
        <v>0.42409999999999998</v>
      </c>
      <c r="M53" s="23">
        <v>0.4224</v>
      </c>
      <c r="N53" s="23">
        <v>0.41830000000000001</v>
      </c>
      <c r="O53" s="23">
        <v>0.46820000000000001</v>
      </c>
    </row>
    <row r="54" spans="1:15" ht="15.95" customHeight="1" x14ac:dyDescent="0.25">
      <c r="A54" s="24">
        <v>256</v>
      </c>
      <c r="B54" s="25">
        <v>1.2238</v>
      </c>
      <c r="C54" s="25">
        <v>2.0855999999999999</v>
      </c>
      <c r="D54" s="25">
        <v>1.3673</v>
      </c>
      <c r="E54" s="25">
        <v>2.0236999999999998</v>
      </c>
      <c r="F54" s="25">
        <v>2.1756000000000002</v>
      </c>
      <c r="G54" s="25">
        <v>2.0926</v>
      </c>
      <c r="H54" s="25">
        <v>0.39560000000000001</v>
      </c>
      <c r="I54" s="25">
        <v>0.19620000000000001</v>
      </c>
      <c r="J54" s="25">
        <v>0.39050000000000001</v>
      </c>
      <c r="K54" s="25">
        <v>0.18990000000000001</v>
      </c>
      <c r="L54" s="25">
        <v>0.39560000000000001</v>
      </c>
      <c r="M54" s="25">
        <v>0.46579999999999999</v>
      </c>
      <c r="N54" s="25">
        <v>0.44979999999999998</v>
      </c>
      <c r="O54" s="25">
        <v>0.43259999999999998</v>
      </c>
    </row>
    <row r="55" spans="1:15" ht="15.95" customHeight="1" x14ac:dyDescent="0.25">
      <c r="A55" s="22">
        <v>261</v>
      </c>
      <c r="B55" s="23">
        <v>1.2399</v>
      </c>
      <c r="C55" s="23">
        <v>2.1063999999999998</v>
      </c>
      <c r="D55" s="23">
        <v>1.3683000000000001</v>
      </c>
      <c r="E55" s="23">
        <v>2.0015999999999998</v>
      </c>
      <c r="F55" s="23">
        <v>2.1598000000000002</v>
      </c>
      <c r="G55" s="23">
        <v>2.0956000000000001</v>
      </c>
      <c r="H55" s="23">
        <v>0.38100000000000001</v>
      </c>
      <c r="I55" s="23">
        <v>0.1913</v>
      </c>
      <c r="J55" s="23">
        <v>0.38179999999999997</v>
      </c>
      <c r="K55" s="23">
        <v>0.18509999999999999</v>
      </c>
      <c r="L55" s="23">
        <v>0.41570000000000001</v>
      </c>
      <c r="M55" s="23">
        <v>0.4093</v>
      </c>
      <c r="N55" s="23">
        <v>0.42009999999999997</v>
      </c>
      <c r="O55" s="23">
        <v>0.41170000000000001</v>
      </c>
    </row>
    <row r="56" spans="1:15" ht="15.95" customHeight="1" x14ac:dyDescent="0.25">
      <c r="A56" s="24">
        <v>266</v>
      </c>
      <c r="B56" s="25">
        <v>1.2383999999999999</v>
      </c>
      <c r="C56" s="25">
        <v>2.105</v>
      </c>
      <c r="D56" s="25">
        <v>1.3703000000000001</v>
      </c>
      <c r="E56" s="25">
        <v>2.0234000000000001</v>
      </c>
      <c r="F56" s="25">
        <v>2.1743000000000001</v>
      </c>
      <c r="G56" s="25">
        <v>2.1080000000000001</v>
      </c>
      <c r="H56" s="25">
        <v>0.3644</v>
      </c>
      <c r="I56" s="25">
        <v>0.1797</v>
      </c>
      <c r="J56" s="25">
        <v>0.37640000000000001</v>
      </c>
      <c r="K56" s="25">
        <v>0.17449999999999999</v>
      </c>
      <c r="L56" s="25">
        <v>0.41349999999999998</v>
      </c>
      <c r="M56" s="25">
        <v>0.41820000000000002</v>
      </c>
      <c r="N56" s="25">
        <v>0.41770000000000002</v>
      </c>
      <c r="O56" s="25">
        <v>0.42009999999999997</v>
      </c>
    </row>
    <row r="57" spans="1:15" ht="15.95" customHeight="1" x14ac:dyDescent="0.25">
      <c r="A57" s="22">
        <v>271</v>
      </c>
      <c r="B57" s="23">
        <v>1.1922999999999999</v>
      </c>
      <c r="C57" s="23">
        <v>2.0451000000000001</v>
      </c>
      <c r="D57" s="23">
        <v>1.2959000000000001</v>
      </c>
      <c r="E57" s="23">
        <v>2.0022000000000002</v>
      </c>
      <c r="F57" s="23">
        <v>2.1722000000000001</v>
      </c>
      <c r="G57" s="23">
        <v>2.1427</v>
      </c>
      <c r="H57" s="23">
        <v>0.38030000000000003</v>
      </c>
      <c r="I57" s="23">
        <v>0.1895</v>
      </c>
      <c r="J57" s="23">
        <v>0.37180000000000002</v>
      </c>
      <c r="K57" s="23">
        <v>0.18210000000000001</v>
      </c>
      <c r="L57" s="23">
        <v>0.43890000000000001</v>
      </c>
      <c r="M57" s="23">
        <v>0.40229999999999999</v>
      </c>
      <c r="N57" s="23">
        <v>0.43930000000000002</v>
      </c>
      <c r="O57" s="23">
        <v>0.40749999999999997</v>
      </c>
    </row>
    <row r="58" spans="1:15" ht="15.95" customHeight="1" x14ac:dyDescent="0.25">
      <c r="A58" s="24">
        <v>276</v>
      </c>
      <c r="B58" s="25">
        <v>1.2256</v>
      </c>
      <c r="C58" s="25">
        <v>2.0648</v>
      </c>
      <c r="D58" s="25">
        <v>1.3459000000000001</v>
      </c>
      <c r="E58" s="25">
        <v>2.0011999999999999</v>
      </c>
      <c r="F58" s="25">
        <v>2.1547999999999998</v>
      </c>
      <c r="G58" s="25">
        <v>2.1061000000000001</v>
      </c>
      <c r="H58" s="25">
        <v>0.38750000000000001</v>
      </c>
      <c r="I58" s="25">
        <v>0.19350000000000001</v>
      </c>
      <c r="J58" s="25">
        <v>0.3871</v>
      </c>
      <c r="K58" s="25">
        <v>0.18049999999999999</v>
      </c>
      <c r="L58" s="25">
        <v>0.41570000000000001</v>
      </c>
      <c r="M58" s="25">
        <v>0.41060000000000002</v>
      </c>
      <c r="N58" s="25">
        <v>0.44</v>
      </c>
      <c r="O58" s="25">
        <v>0.4103</v>
      </c>
    </row>
    <row r="59" spans="1:15" ht="15.95" customHeight="1" x14ac:dyDescent="0.25">
      <c r="A59" s="22">
        <v>277</v>
      </c>
      <c r="B59" s="23">
        <v>1.198</v>
      </c>
      <c r="C59" s="23">
        <v>2.0880999999999998</v>
      </c>
      <c r="D59" s="23">
        <v>1.3167</v>
      </c>
      <c r="E59" s="23">
        <v>2.0053999999999998</v>
      </c>
      <c r="F59" s="23">
        <v>2.1621000000000001</v>
      </c>
      <c r="G59" s="23">
        <v>2.1541999999999999</v>
      </c>
      <c r="H59" s="23">
        <v>0.38600000000000001</v>
      </c>
      <c r="I59" s="23">
        <v>0.19040000000000001</v>
      </c>
      <c r="J59" s="23">
        <v>0.39069999999999999</v>
      </c>
      <c r="K59" s="23">
        <v>0.18340000000000001</v>
      </c>
      <c r="L59" s="23">
        <v>0.4</v>
      </c>
      <c r="M59" s="23">
        <v>0.41520000000000001</v>
      </c>
      <c r="N59" s="23">
        <v>0.42170000000000002</v>
      </c>
      <c r="O59" s="23">
        <v>0.42430000000000001</v>
      </c>
    </row>
  </sheetData>
  <mergeCells count="1">
    <mergeCell ref="A1:O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topLeftCell="A7" workbookViewId="0">
      <selection activeCell="H32" sqref="H32"/>
    </sheetView>
  </sheetViews>
  <sheetFormatPr baseColWidth="10" defaultColWidth="9.140625" defaultRowHeight="15" x14ac:dyDescent="0.25"/>
  <cols>
    <col min="1" max="1" width="28" customWidth="1"/>
    <col min="2" max="6" width="18" customWidth="1"/>
    <col min="7" max="7" width="37.85546875" customWidth="1"/>
  </cols>
  <sheetData>
    <row r="1" spans="1:7" ht="30" customHeight="1" x14ac:dyDescent="0.25">
      <c r="A1" s="72" t="s">
        <v>67</v>
      </c>
      <c r="B1" s="67"/>
      <c r="C1" s="67"/>
      <c r="D1" s="67"/>
      <c r="E1" s="67"/>
      <c r="F1" s="67"/>
      <c r="G1" s="67"/>
    </row>
    <row r="3" spans="1:7" x14ac:dyDescent="0.25">
      <c r="A3" s="69" t="s">
        <v>68</v>
      </c>
      <c r="B3" s="67"/>
      <c r="C3" s="67"/>
      <c r="D3" s="67"/>
      <c r="E3" s="67"/>
      <c r="F3" s="67"/>
      <c r="G3" s="67"/>
    </row>
    <row r="4" spans="1:7" ht="25.5" x14ac:dyDescent="0.25">
      <c r="A4" s="1" t="s">
        <v>24</v>
      </c>
      <c r="B4" s="1" t="s">
        <v>69</v>
      </c>
      <c r="C4" s="1" t="s">
        <v>70</v>
      </c>
      <c r="D4" s="1" t="s">
        <v>71</v>
      </c>
      <c r="E4" s="1" t="s">
        <v>72</v>
      </c>
      <c r="F4" s="1" t="s">
        <v>41</v>
      </c>
      <c r="G4" s="1" t="s">
        <v>73</v>
      </c>
    </row>
    <row r="5" spans="1:7" ht="57" x14ac:dyDescent="0.25">
      <c r="A5" s="2" t="s">
        <v>45</v>
      </c>
      <c r="B5" s="26">
        <v>0.70199999999999996</v>
      </c>
      <c r="C5" s="3">
        <v>0.32</v>
      </c>
      <c r="D5" s="9">
        <v>275</v>
      </c>
      <c r="E5" s="27">
        <f>D5/SUM(D5:D8)</f>
        <v>8.4433527786306417E-2</v>
      </c>
      <c r="F5" s="28" t="s">
        <v>74</v>
      </c>
      <c r="G5" s="4" t="s">
        <v>75</v>
      </c>
    </row>
    <row r="6" spans="1:7" ht="57" x14ac:dyDescent="0.25">
      <c r="A6" s="5" t="s">
        <v>30</v>
      </c>
      <c r="B6" s="29">
        <v>0.433</v>
      </c>
      <c r="C6" s="6">
        <v>0.18099999999999999</v>
      </c>
      <c r="D6" s="11">
        <v>922</v>
      </c>
      <c r="E6" s="30">
        <f>D6/SUM(D5:D8)</f>
        <v>0.28308259134172553</v>
      </c>
      <c r="F6" s="31" t="s">
        <v>76</v>
      </c>
      <c r="G6" s="7" t="s">
        <v>77</v>
      </c>
    </row>
    <row r="7" spans="1:7" ht="42.75" x14ac:dyDescent="0.25">
      <c r="A7" s="2" t="s">
        <v>42</v>
      </c>
      <c r="B7" s="32">
        <v>0.23300000000000001</v>
      </c>
      <c r="C7" s="3">
        <v>9.6000000000000002E-2</v>
      </c>
      <c r="D7" s="9">
        <v>1900</v>
      </c>
      <c r="E7" s="27">
        <f>D7/SUM(D5:D8)</f>
        <v>0.58335891925084438</v>
      </c>
      <c r="F7" s="33" t="s">
        <v>78</v>
      </c>
      <c r="G7" s="4" t="s">
        <v>79</v>
      </c>
    </row>
    <row r="8" spans="1:7" ht="57" x14ac:dyDescent="0.25">
      <c r="A8" s="5" t="s">
        <v>32</v>
      </c>
      <c r="B8" s="34">
        <v>0.22500000000000001</v>
      </c>
      <c r="C8" s="6">
        <v>0.09</v>
      </c>
      <c r="D8" s="11">
        <v>160</v>
      </c>
      <c r="E8" s="30">
        <f>D8/SUM(D5:D8)</f>
        <v>4.9124961621123731E-2</v>
      </c>
      <c r="F8" s="35" t="s">
        <v>78</v>
      </c>
      <c r="G8" s="7" t="s">
        <v>80</v>
      </c>
    </row>
    <row r="9" spans="1:7" x14ac:dyDescent="0.25">
      <c r="A9" s="17" t="s">
        <v>81</v>
      </c>
      <c r="B9" s="36">
        <f>AVERAGE(B5:B8)</f>
        <v>0.39825000000000005</v>
      </c>
      <c r="C9" s="37">
        <f>AVERAGE(C5:C8)</f>
        <v>0.17174999999999999</v>
      </c>
      <c r="D9" s="18">
        <f>SUM(D5:D8)</f>
        <v>3257</v>
      </c>
    </row>
    <row r="11" spans="1:7" ht="24" customHeight="1" x14ac:dyDescent="0.25">
      <c r="A11" s="73" t="s">
        <v>82</v>
      </c>
      <c r="B11" s="67"/>
      <c r="C11" s="67"/>
      <c r="D11" s="67"/>
      <c r="E11" s="67"/>
      <c r="F11" s="67"/>
      <c r="G11" s="67"/>
    </row>
    <row r="12" spans="1:7" ht="25.5" x14ac:dyDescent="0.25">
      <c r="A12" s="38" t="s">
        <v>24</v>
      </c>
      <c r="B12" s="38" t="s">
        <v>83</v>
      </c>
      <c r="C12" s="38" t="s">
        <v>84</v>
      </c>
      <c r="D12" s="38" t="s">
        <v>71</v>
      </c>
      <c r="E12" s="38" t="s">
        <v>72</v>
      </c>
      <c r="F12" s="38" t="s">
        <v>41</v>
      </c>
      <c r="G12" s="38" t="s">
        <v>85</v>
      </c>
    </row>
    <row r="13" spans="1:7" ht="57" x14ac:dyDescent="0.25">
      <c r="A13" s="2" t="s">
        <v>45</v>
      </c>
      <c r="B13" s="26">
        <v>0.71</v>
      </c>
      <c r="C13" s="3">
        <v>0.32900000000000001</v>
      </c>
      <c r="D13" s="9">
        <v>275</v>
      </c>
      <c r="E13" s="27">
        <f>D13/SUM(D13:D16)</f>
        <v>8.4433527786306417E-2</v>
      </c>
      <c r="F13" s="28" t="s">
        <v>74</v>
      </c>
      <c r="G13" s="4" t="s">
        <v>86</v>
      </c>
    </row>
    <row r="14" spans="1:7" ht="57" x14ac:dyDescent="0.25">
      <c r="A14" s="5" t="s">
        <v>30</v>
      </c>
      <c r="B14" s="29">
        <v>0.40200000000000002</v>
      </c>
      <c r="C14" s="6">
        <v>0.186</v>
      </c>
      <c r="D14" s="11">
        <v>922</v>
      </c>
      <c r="E14" s="30">
        <f>D14/SUM(D13:D16)</f>
        <v>0.28308259134172553</v>
      </c>
      <c r="F14" s="31" t="s">
        <v>76</v>
      </c>
      <c r="G14" s="7" t="s">
        <v>87</v>
      </c>
    </row>
    <row r="15" spans="1:7" ht="57" x14ac:dyDescent="0.25">
      <c r="A15" s="2" t="s">
        <v>32</v>
      </c>
      <c r="B15" s="32">
        <v>0.26200000000000001</v>
      </c>
      <c r="C15" s="3">
        <v>0.108</v>
      </c>
      <c r="D15" s="9">
        <v>160</v>
      </c>
      <c r="E15" s="27">
        <f>D15/SUM(D13:D16)</f>
        <v>4.9124961621123731E-2</v>
      </c>
      <c r="F15" s="33" t="s">
        <v>78</v>
      </c>
      <c r="G15" s="4" t="s">
        <v>88</v>
      </c>
    </row>
    <row r="16" spans="1:7" ht="57" x14ac:dyDescent="0.25">
      <c r="A16" s="5" t="s">
        <v>42</v>
      </c>
      <c r="B16" s="34">
        <v>0.23300000000000001</v>
      </c>
      <c r="C16" s="6">
        <v>9.1999999999999998E-2</v>
      </c>
      <c r="D16" s="11">
        <v>1900</v>
      </c>
      <c r="E16" s="30">
        <f>D16/SUM(D13:D16)</f>
        <v>0.58335891925084438</v>
      </c>
      <c r="F16" s="35" t="s">
        <v>78</v>
      </c>
      <c r="G16" s="7" t="s">
        <v>89</v>
      </c>
    </row>
    <row r="17" spans="1:3" x14ac:dyDescent="0.25">
      <c r="A17" s="39" t="s">
        <v>90</v>
      </c>
      <c r="B17" s="40">
        <f>AVERAGE(B13:B16)</f>
        <v>0.40175000000000005</v>
      </c>
      <c r="C17" s="41">
        <f>AVERAGE(C13:C16)</f>
        <v>0.17874999999999999</v>
      </c>
    </row>
  </sheetData>
  <mergeCells count="3">
    <mergeCell ref="A3:G3"/>
    <mergeCell ref="A11:G11"/>
    <mergeCell ref="A1:G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election activeCell="D30" sqref="D30"/>
    </sheetView>
  </sheetViews>
  <sheetFormatPr baseColWidth="10" defaultColWidth="9.140625" defaultRowHeight="15" x14ac:dyDescent="0.25"/>
  <cols>
    <col min="1" max="2" width="20" customWidth="1"/>
    <col min="3" max="5" width="22" customWidth="1"/>
    <col min="6" max="7" width="18" customWidth="1"/>
  </cols>
  <sheetData>
    <row r="1" spans="1:6" ht="30" customHeight="1" x14ac:dyDescent="0.25">
      <c r="A1" s="72" t="s">
        <v>91</v>
      </c>
      <c r="B1" s="67"/>
      <c r="C1" s="67"/>
      <c r="D1" s="67"/>
      <c r="E1" s="67"/>
      <c r="F1" s="67"/>
    </row>
    <row r="3" spans="1:6" ht="20.100000000000001" customHeight="1" x14ac:dyDescent="0.25">
      <c r="A3" s="74" t="s">
        <v>92</v>
      </c>
      <c r="B3" s="67"/>
      <c r="C3" s="67"/>
      <c r="D3" s="67"/>
      <c r="E3" s="67"/>
      <c r="F3" s="67"/>
    </row>
    <row r="5" spans="1:6" ht="21.95" customHeight="1" x14ac:dyDescent="0.25">
      <c r="A5" s="42" t="s">
        <v>93</v>
      </c>
      <c r="B5" s="21" t="s">
        <v>94</v>
      </c>
      <c r="C5" s="21" t="s">
        <v>95</v>
      </c>
      <c r="D5" s="21" t="s">
        <v>96</v>
      </c>
      <c r="E5" s="21" t="s">
        <v>97</v>
      </c>
      <c r="F5" s="21" t="s">
        <v>98</v>
      </c>
    </row>
    <row r="6" spans="1:6" x14ac:dyDescent="0.25">
      <c r="A6" s="43" t="s">
        <v>99</v>
      </c>
      <c r="B6" s="44">
        <v>0.67</v>
      </c>
      <c r="C6" s="45">
        <v>0</v>
      </c>
      <c r="D6" s="46">
        <v>7.0000000000000007E-2</v>
      </c>
      <c r="E6" s="45">
        <v>0</v>
      </c>
      <c r="F6" s="45">
        <v>0.04</v>
      </c>
    </row>
    <row r="7" spans="1:6" x14ac:dyDescent="0.25">
      <c r="A7" s="43" t="s">
        <v>100</v>
      </c>
      <c r="B7" s="47">
        <v>0</v>
      </c>
      <c r="C7" s="48">
        <v>0.35</v>
      </c>
      <c r="D7" s="47">
        <v>0</v>
      </c>
      <c r="E7" s="47">
        <v>0</v>
      </c>
      <c r="F7" s="49">
        <v>0.61</v>
      </c>
    </row>
    <row r="8" spans="1:6" x14ac:dyDescent="0.25">
      <c r="A8" s="43" t="s">
        <v>101</v>
      </c>
      <c r="B8" s="45">
        <v>0.01</v>
      </c>
      <c r="C8" s="45">
        <v>0</v>
      </c>
      <c r="D8" s="48">
        <v>0.28999999999999998</v>
      </c>
      <c r="E8" s="45">
        <v>0</v>
      </c>
      <c r="F8" s="45">
        <v>0.05</v>
      </c>
    </row>
    <row r="9" spans="1:6" ht="30" x14ac:dyDescent="0.25">
      <c r="A9" s="43" t="s">
        <v>102</v>
      </c>
      <c r="B9" s="47">
        <v>0</v>
      </c>
      <c r="C9" s="47">
        <v>0</v>
      </c>
      <c r="D9" s="47">
        <v>0</v>
      </c>
      <c r="E9" s="44">
        <v>0.53</v>
      </c>
      <c r="F9" s="46">
        <v>0.3</v>
      </c>
    </row>
    <row r="10" spans="1:6" ht="30" x14ac:dyDescent="0.25">
      <c r="A10" s="43" t="s">
        <v>103</v>
      </c>
      <c r="B10" s="49">
        <v>0.32</v>
      </c>
      <c r="C10" s="49">
        <v>0.64</v>
      </c>
      <c r="D10" s="49">
        <v>0.63</v>
      </c>
      <c r="E10" s="49">
        <v>0.46</v>
      </c>
      <c r="F10" s="45">
        <v>0</v>
      </c>
    </row>
    <row r="13" spans="1:6" ht="21.95" customHeight="1" x14ac:dyDescent="0.25">
      <c r="A13" s="69" t="s">
        <v>104</v>
      </c>
      <c r="B13" s="67"/>
      <c r="C13" s="67"/>
      <c r="D13" s="67"/>
      <c r="E13" s="67"/>
      <c r="F13" s="67"/>
    </row>
    <row r="14" spans="1:6" x14ac:dyDescent="0.25">
      <c r="A14" s="42" t="s">
        <v>93</v>
      </c>
      <c r="B14" s="21" t="s">
        <v>94</v>
      </c>
      <c r="C14" s="21" t="s">
        <v>95</v>
      </c>
      <c r="D14" s="21" t="s">
        <v>96</v>
      </c>
      <c r="E14" s="21" t="s">
        <v>97</v>
      </c>
      <c r="F14" s="21" t="s">
        <v>98</v>
      </c>
    </row>
    <row r="15" spans="1:6" x14ac:dyDescent="0.25">
      <c r="A15" s="43" t="s">
        <v>99</v>
      </c>
      <c r="B15" s="50">
        <v>59</v>
      </c>
      <c r="C15" s="51">
        <v>0</v>
      </c>
      <c r="D15" s="51">
        <v>3</v>
      </c>
      <c r="E15" s="51">
        <v>1</v>
      </c>
      <c r="F15" s="51">
        <v>24</v>
      </c>
    </row>
    <row r="16" spans="1:6" x14ac:dyDescent="0.25">
      <c r="A16" s="43" t="s">
        <v>100</v>
      </c>
      <c r="B16" s="52">
        <v>0</v>
      </c>
      <c r="C16" s="50">
        <v>172</v>
      </c>
      <c r="D16" s="52">
        <v>0</v>
      </c>
      <c r="E16" s="52">
        <v>1</v>
      </c>
      <c r="F16" s="52">
        <v>396</v>
      </c>
    </row>
    <row r="17" spans="1:6" x14ac:dyDescent="0.25">
      <c r="A17" s="43" t="s">
        <v>101</v>
      </c>
      <c r="B17" s="51">
        <v>1</v>
      </c>
      <c r="C17" s="51">
        <v>2</v>
      </c>
      <c r="D17" s="50">
        <v>12</v>
      </c>
      <c r="E17" s="51">
        <v>1</v>
      </c>
      <c r="F17" s="51">
        <v>33</v>
      </c>
    </row>
    <row r="18" spans="1:6" ht="30" x14ac:dyDescent="0.25">
      <c r="A18" s="43" t="s">
        <v>102</v>
      </c>
      <c r="B18" s="52">
        <v>0</v>
      </c>
      <c r="C18" s="52">
        <v>2</v>
      </c>
      <c r="D18" s="52">
        <v>0</v>
      </c>
      <c r="E18" s="50">
        <v>140</v>
      </c>
      <c r="F18" s="52">
        <v>194</v>
      </c>
    </row>
    <row r="19" spans="1:6" ht="30" x14ac:dyDescent="0.25">
      <c r="A19" s="43" t="s">
        <v>103</v>
      </c>
      <c r="B19" s="51">
        <v>28</v>
      </c>
      <c r="C19" s="51">
        <v>314</v>
      </c>
      <c r="D19" s="51">
        <v>26</v>
      </c>
      <c r="E19" s="51">
        <v>120</v>
      </c>
      <c r="F19" s="51">
        <v>0</v>
      </c>
    </row>
    <row r="22" spans="1:6" ht="21.95" customHeight="1" x14ac:dyDescent="0.25">
      <c r="A22" s="69" t="s">
        <v>105</v>
      </c>
      <c r="B22" s="67"/>
      <c r="C22" s="67"/>
      <c r="D22" s="67"/>
      <c r="E22" s="67"/>
      <c r="F22" s="67"/>
    </row>
    <row r="23" spans="1:6" ht="25.5" x14ac:dyDescent="0.25">
      <c r="A23" s="1" t="s">
        <v>24</v>
      </c>
      <c r="B23" s="1" t="s">
        <v>106</v>
      </c>
      <c r="C23" s="1" t="s">
        <v>107</v>
      </c>
      <c r="D23" s="1" t="s">
        <v>108</v>
      </c>
      <c r="E23" s="1" t="s">
        <v>109</v>
      </c>
    </row>
    <row r="24" spans="1:6" ht="42.75" x14ac:dyDescent="0.25">
      <c r="A24" s="2" t="s">
        <v>45</v>
      </c>
      <c r="B24" s="53">
        <v>0.67</v>
      </c>
      <c r="C24" s="54">
        <v>0.04</v>
      </c>
      <c r="D24" s="4" t="s">
        <v>110</v>
      </c>
      <c r="E24" s="4" t="s">
        <v>111</v>
      </c>
    </row>
    <row r="25" spans="1:6" ht="42.75" x14ac:dyDescent="0.25">
      <c r="A25" s="5" t="s">
        <v>42</v>
      </c>
      <c r="B25" s="55">
        <v>0.35</v>
      </c>
      <c r="C25" s="56">
        <v>0.61</v>
      </c>
      <c r="D25" s="7" t="s">
        <v>112</v>
      </c>
      <c r="E25" s="7" t="s">
        <v>113</v>
      </c>
    </row>
    <row r="26" spans="1:6" ht="42.75" x14ac:dyDescent="0.25">
      <c r="A26" s="2" t="s">
        <v>32</v>
      </c>
      <c r="B26" s="57">
        <v>0.28999999999999998</v>
      </c>
      <c r="C26" s="54">
        <v>0.05</v>
      </c>
      <c r="D26" s="4" t="s">
        <v>114</v>
      </c>
      <c r="E26" s="4" t="s">
        <v>115</v>
      </c>
    </row>
    <row r="27" spans="1:6" ht="42.75" x14ac:dyDescent="0.25">
      <c r="A27" s="5" t="s">
        <v>116</v>
      </c>
      <c r="B27" s="58">
        <v>0.53</v>
      </c>
      <c r="C27" s="59">
        <v>0.3</v>
      </c>
      <c r="D27" s="7" t="s">
        <v>117</v>
      </c>
      <c r="E27" s="7" t="s">
        <v>118</v>
      </c>
    </row>
  </sheetData>
  <mergeCells count="4">
    <mergeCell ref="A3:F3"/>
    <mergeCell ref="A13:F13"/>
    <mergeCell ref="A1:F1"/>
    <mergeCell ref="A22:F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topLeftCell="A15" workbookViewId="0">
      <selection activeCell="B9" sqref="B9:G9"/>
    </sheetView>
  </sheetViews>
  <sheetFormatPr baseColWidth="10" defaultColWidth="9.140625" defaultRowHeight="15" x14ac:dyDescent="0.25"/>
  <cols>
    <col min="1" max="1" width="20" customWidth="1"/>
    <col min="2" max="8" width="16" customWidth="1"/>
  </cols>
  <sheetData>
    <row r="1" spans="1:8" ht="30" customHeight="1" x14ac:dyDescent="0.25">
      <c r="A1" s="72" t="s">
        <v>119</v>
      </c>
      <c r="B1" s="67"/>
      <c r="C1" s="67"/>
      <c r="D1" s="67"/>
      <c r="E1" s="67"/>
      <c r="F1" s="67"/>
      <c r="G1" s="67"/>
      <c r="H1" s="67"/>
    </row>
    <row r="3" spans="1:8" ht="21.95" customHeight="1" x14ac:dyDescent="0.25">
      <c r="A3" s="69" t="s">
        <v>120</v>
      </c>
      <c r="B3" s="67"/>
      <c r="C3" s="67"/>
      <c r="D3" s="67"/>
      <c r="E3" s="67"/>
      <c r="F3" s="67"/>
      <c r="G3" s="67"/>
      <c r="H3" s="67"/>
    </row>
    <row r="4" spans="1:8" ht="25.5" x14ac:dyDescent="0.25">
      <c r="A4" s="1" t="s">
        <v>121</v>
      </c>
      <c r="B4" s="1" t="s">
        <v>122</v>
      </c>
      <c r="C4" s="1" t="s">
        <v>123</v>
      </c>
      <c r="D4" s="1" t="s">
        <v>124</v>
      </c>
      <c r="E4" s="1" t="s">
        <v>125</v>
      </c>
      <c r="F4" s="1" t="s">
        <v>126</v>
      </c>
      <c r="G4" s="1" t="s">
        <v>127</v>
      </c>
      <c r="H4" s="1" t="s">
        <v>128</v>
      </c>
    </row>
    <row r="5" spans="1:8" ht="15.95" customHeight="1" x14ac:dyDescent="0.25">
      <c r="A5" s="3">
        <v>0</v>
      </c>
      <c r="B5" s="3">
        <v>0.13</v>
      </c>
      <c r="C5" s="3">
        <v>0.12</v>
      </c>
      <c r="D5" s="3">
        <v>0.12</v>
      </c>
      <c r="E5" s="3">
        <v>0.12</v>
      </c>
      <c r="F5" s="3">
        <v>0.12</v>
      </c>
      <c r="G5" s="3">
        <v>7.0000000000000007E-2</v>
      </c>
      <c r="H5" s="3">
        <v>0.78</v>
      </c>
    </row>
    <row r="6" spans="1:8" ht="15.95" customHeight="1" x14ac:dyDescent="0.25">
      <c r="A6" s="6">
        <v>0.1</v>
      </c>
      <c r="B6" s="6">
        <v>0.35</v>
      </c>
      <c r="C6" s="6">
        <v>0.56999999999999995</v>
      </c>
      <c r="D6" s="6">
        <v>0.27</v>
      </c>
      <c r="E6" s="6">
        <v>0.25</v>
      </c>
      <c r="F6" s="6">
        <v>0.38</v>
      </c>
      <c r="G6" s="6">
        <v>0.26</v>
      </c>
      <c r="H6" s="6">
        <v>0.68</v>
      </c>
    </row>
    <row r="7" spans="1:8" ht="15.95" customHeight="1" x14ac:dyDescent="0.25">
      <c r="A7" s="3">
        <v>0.2</v>
      </c>
      <c r="B7" s="3">
        <v>0.41</v>
      </c>
      <c r="C7" s="3">
        <v>0.64</v>
      </c>
      <c r="D7" s="3">
        <v>0.31</v>
      </c>
      <c r="E7" s="3">
        <v>0.28000000000000003</v>
      </c>
      <c r="F7" s="3">
        <v>0.43</v>
      </c>
      <c r="G7" s="3">
        <v>0.38</v>
      </c>
      <c r="H7" s="3">
        <v>0.49</v>
      </c>
    </row>
    <row r="8" spans="1:8" ht="15.95" customHeight="1" x14ac:dyDescent="0.25">
      <c r="A8" s="6">
        <v>0.3</v>
      </c>
      <c r="B8" s="6">
        <v>0.44</v>
      </c>
      <c r="C8" s="6">
        <v>0.67</v>
      </c>
      <c r="D8" s="6">
        <v>0.32</v>
      </c>
      <c r="E8" s="6">
        <v>0.31</v>
      </c>
      <c r="F8" s="6">
        <v>0.44</v>
      </c>
      <c r="G8" s="6">
        <v>0.47</v>
      </c>
      <c r="H8" s="6">
        <v>0.42</v>
      </c>
    </row>
    <row r="9" spans="1:8" ht="30" x14ac:dyDescent="0.25">
      <c r="A9" s="60">
        <v>0.36599999999999999</v>
      </c>
      <c r="B9" s="60">
        <v>0.44</v>
      </c>
      <c r="C9" s="60">
        <v>0.69</v>
      </c>
      <c r="D9" s="60">
        <v>0.32</v>
      </c>
      <c r="E9" s="60">
        <v>0.33</v>
      </c>
      <c r="F9" s="60">
        <v>0.45</v>
      </c>
      <c r="G9" s="60">
        <v>0.5</v>
      </c>
      <c r="H9" s="61" t="s">
        <v>129</v>
      </c>
    </row>
    <row r="10" spans="1:8" ht="15.95" customHeight="1" x14ac:dyDescent="0.25">
      <c r="A10" s="6">
        <v>0.4</v>
      </c>
      <c r="B10" s="6">
        <v>0.43</v>
      </c>
      <c r="C10" s="6">
        <v>0.66</v>
      </c>
      <c r="D10" s="6">
        <v>0.3</v>
      </c>
      <c r="E10" s="6">
        <v>0.31</v>
      </c>
      <c r="F10" s="6">
        <v>0.44</v>
      </c>
      <c r="G10" s="6">
        <v>0.54</v>
      </c>
      <c r="H10" s="6">
        <v>0.36</v>
      </c>
    </row>
    <row r="11" spans="1:8" ht="15.95" customHeight="1" x14ac:dyDescent="0.25">
      <c r="A11" s="3">
        <v>0.5</v>
      </c>
      <c r="B11" s="3">
        <v>0.4</v>
      </c>
      <c r="C11" s="3">
        <v>0.6</v>
      </c>
      <c r="D11" s="3">
        <v>0.22</v>
      </c>
      <c r="E11" s="3">
        <v>0.25</v>
      </c>
      <c r="F11" s="3">
        <v>0.41</v>
      </c>
      <c r="G11" s="3">
        <v>0.62</v>
      </c>
      <c r="H11" s="3">
        <v>0.3</v>
      </c>
    </row>
    <row r="12" spans="1:8" ht="15.95" customHeight="1" x14ac:dyDescent="0.25">
      <c r="A12" s="6">
        <v>0.7</v>
      </c>
      <c r="B12" s="6">
        <v>0.25</v>
      </c>
      <c r="C12" s="6">
        <v>0.4</v>
      </c>
      <c r="D12" s="6">
        <v>7.0000000000000007E-2</v>
      </c>
      <c r="E12" s="6">
        <v>0.1</v>
      </c>
      <c r="F12" s="6">
        <v>0.25</v>
      </c>
      <c r="G12" s="6">
        <v>0.77</v>
      </c>
      <c r="H12" s="6">
        <v>0.16</v>
      </c>
    </row>
    <row r="13" spans="1:8" ht="15.95" customHeight="1" x14ac:dyDescent="0.25">
      <c r="A13" s="3">
        <v>0.9</v>
      </c>
      <c r="B13" s="3">
        <v>0.06</v>
      </c>
      <c r="C13" s="3">
        <v>0.12</v>
      </c>
      <c r="D13" s="3">
        <v>0.02</v>
      </c>
      <c r="E13" s="3">
        <v>0.01</v>
      </c>
      <c r="F13" s="3">
        <v>0.04</v>
      </c>
      <c r="G13" s="3">
        <v>0.88</v>
      </c>
      <c r="H13" s="3">
        <v>0.04</v>
      </c>
    </row>
    <row r="14" spans="1:8" ht="15.95" customHeight="1" x14ac:dyDescent="0.25">
      <c r="A14" s="6">
        <v>1</v>
      </c>
      <c r="B14" s="6">
        <v>0</v>
      </c>
      <c r="C14" s="6">
        <v>0</v>
      </c>
      <c r="D14" s="6">
        <v>0</v>
      </c>
      <c r="E14" s="6">
        <v>0</v>
      </c>
      <c r="F14" s="6">
        <v>0</v>
      </c>
      <c r="G14" s="6">
        <v>1</v>
      </c>
      <c r="H14" s="6">
        <v>0</v>
      </c>
    </row>
    <row r="17" spans="1:8" ht="21.95" customHeight="1" x14ac:dyDescent="0.25">
      <c r="A17" s="69" t="s">
        <v>130</v>
      </c>
      <c r="B17" s="67"/>
      <c r="C17" s="67"/>
      <c r="D17" s="67"/>
      <c r="E17" s="67"/>
      <c r="F17" s="67"/>
      <c r="G17" s="67"/>
      <c r="H17" s="67"/>
    </row>
    <row r="18" spans="1:8" ht="25.5" x14ac:dyDescent="0.25">
      <c r="A18" s="1" t="s">
        <v>24</v>
      </c>
      <c r="B18" s="1" t="s">
        <v>25</v>
      </c>
      <c r="C18" s="1" t="s">
        <v>69</v>
      </c>
      <c r="D18" s="1" t="s">
        <v>131</v>
      </c>
      <c r="E18" s="1" t="s">
        <v>132</v>
      </c>
      <c r="F18" s="1" t="s">
        <v>133</v>
      </c>
      <c r="G18" s="1" t="s">
        <v>134</v>
      </c>
      <c r="H18" s="1" t="s">
        <v>6</v>
      </c>
    </row>
    <row r="19" spans="1:8" ht="42.75" x14ac:dyDescent="0.25">
      <c r="A19" s="4" t="s">
        <v>45</v>
      </c>
      <c r="B19" s="3">
        <v>0.71</v>
      </c>
      <c r="C19" s="3">
        <v>0.70199999999999996</v>
      </c>
      <c r="D19" s="3">
        <f>B19-C19</f>
        <v>8.0000000000000071E-3</v>
      </c>
      <c r="E19" s="9">
        <v>275</v>
      </c>
      <c r="F19" s="15">
        <f>B19/MAX($B$19:$B$22)</f>
        <v>1</v>
      </c>
      <c r="G19" s="62">
        <v>1</v>
      </c>
      <c r="H19" s="62" t="s">
        <v>135</v>
      </c>
    </row>
    <row r="20" spans="1:8" ht="42.75" x14ac:dyDescent="0.25">
      <c r="A20" s="7" t="s">
        <v>30</v>
      </c>
      <c r="B20" s="6">
        <v>0.40200000000000002</v>
      </c>
      <c r="C20" s="6">
        <v>0.433</v>
      </c>
      <c r="D20" s="6">
        <f>B20-C20</f>
        <v>-3.0999999999999972E-2</v>
      </c>
      <c r="E20" s="11">
        <v>922</v>
      </c>
      <c r="F20" s="16">
        <f>B20/MAX($B$19:$B$22)</f>
        <v>0.56619718309859157</v>
      </c>
      <c r="G20" s="63">
        <v>2</v>
      </c>
      <c r="H20" s="63" t="s">
        <v>136</v>
      </c>
    </row>
    <row r="21" spans="1:8" ht="28.5" x14ac:dyDescent="0.25">
      <c r="A21" s="4" t="s">
        <v>32</v>
      </c>
      <c r="B21" s="3">
        <v>0.26200000000000001</v>
      </c>
      <c r="C21" s="3">
        <v>0.22500000000000001</v>
      </c>
      <c r="D21" s="3">
        <f>B21-C21</f>
        <v>3.7000000000000005E-2</v>
      </c>
      <c r="E21" s="9">
        <v>160</v>
      </c>
      <c r="F21" s="15">
        <f>B21/MAX($B$19:$B$22)</f>
        <v>0.36901408450704226</v>
      </c>
      <c r="G21" s="62">
        <v>4</v>
      </c>
      <c r="H21" s="62" t="s">
        <v>137</v>
      </c>
    </row>
    <row r="22" spans="1:8" ht="42.75" x14ac:dyDescent="0.25">
      <c r="A22" s="7" t="s">
        <v>42</v>
      </c>
      <c r="B22" s="6">
        <v>0.23300000000000001</v>
      </c>
      <c r="C22" s="6">
        <v>0.23300000000000001</v>
      </c>
      <c r="D22" s="6">
        <f>B22-C22</f>
        <v>0</v>
      </c>
      <c r="E22" s="11">
        <v>1900</v>
      </c>
      <c r="F22" s="16">
        <f>B22/MAX($B$19:$B$22)</f>
        <v>0.32816901408450705</v>
      </c>
      <c r="G22" s="63">
        <v>3</v>
      </c>
      <c r="H22" s="63" t="s">
        <v>138</v>
      </c>
    </row>
    <row r="23" spans="1:8" ht="30" x14ac:dyDescent="0.25">
      <c r="A23" s="17" t="s">
        <v>139</v>
      </c>
      <c r="B23" s="64">
        <v>0.40200000000000002</v>
      </c>
      <c r="C23" s="64">
        <v>0.39800000000000002</v>
      </c>
      <c r="D23" s="64">
        <f>B23-C23</f>
        <v>4.0000000000000036E-3</v>
      </c>
      <c r="E23" s="64">
        <f>SUM(E19:E22)</f>
        <v>3257</v>
      </c>
      <c r="F23" s="64" t="s">
        <v>140</v>
      </c>
      <c r="G23" s="64" t="s">
        <v>140</v>
      </c>
      <c r="H23" s="64" t="s">
        <v>141</v>
      </c>
    </row>
  </sheetData>
  <mergeCells count="3">
    <mergeCell ref="A3:H3"/>
    <mergeCell ref="A17:H17"/>
    <mergeCell ref="A1:H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
  <sheetViews>
    <sheetView topLeftCell="A5" workbookViewId="0">
      <selection activeCell="B21" sqref="B21:B22"/>
    </sheetView>
  </sheetViews>
  <sheetFormatPr baseColWidth="10" defaultColWidth="9.140625" defaultRowHeight="15" x14ac:dyDescent="0.25"/>
  <cols>
    <col min="1" max="1" width="28" customWidth="1"/>
    <col min="2" max="2" width="85" customWidth="1"/>
  </cols>
  <sheetData>
    <row r="1" spans="1:2" ht="30" customHeight="1" x14ac:dyDescent="0.25">
      <c r="A1" s="72" t="s">
        <v>142</v>
      </c>
      <c r="B1" s="67"/>
    </row>
    <row r="3" spans="1:2" ht="72" customHeight="1" x14ac:dyDescent="0.25">
      <c r="A3" s="65" t="s">
        <v>143</v>
      </c>
      <c r="B3" s="75" t="s">
        <v>144</v>
      </c>
    </row>
    <row r="4" spans="1:2" ht="18" customHeight="1" x14ac:dyDescent="0.25">
      <c r="B4" s="67"/>
    </row>
    <row r="5" spans="1:2" ht="6" customHeight="1" x14ac:dyDescent="0.25">
      <c r="A5" s="76"/>
      <c r="B5" s="67"/>
    </row>
    <row r="6" spans="1:2" ht="72" customHeight="1" x14ac:dyDescent="0.25">
      <c r="A6" s="65" t="s">
        <v>145</v>
      </c>
      <c r="B6" s="77" t="s">
        <v>146</v>
      </c>
    </row>
    <row r="7" spans="1:2" ht="18" customHeight="1" x14ac:dyDescent="0.25">
      <c r="B7" s="67"/>
    </row>
    <row r="8" spans="1:2" ht="6" customHeight="1" x14ac:dyDescent="0.25">
      <c r="A8" s="76"/>
      <c r="B8" s="67"/>
    </row>
    <row r="9" spans="1:2" ht="72" customHeight="1" x14ac:dyDescent="0.25">
      <c r="A9" s="65" t="s">
        <v>147</v>
      </c>
      <c r="B9" s="75" t="s">
        <v>148</v>
      </c>
    </row>
    <row r="10" spans="1:2" ht="18" customHeight="1" x14ac:dyDescent="0.25">
      <c r="B10" s="67"/>
    </row>
    <row r="11" spans="1:2" ht="6" customHeight="1" x14ac:dyDescent="0.25">
      <c r="A11" s="76"/>
      <c r="B11" s="67"/>
    </row>
    <row r="12" spans="1:2" ht="72" customHeight="1" x14ac:dyDescent="0.25">
      <c r="A12" s="65" t="s">
        <v>149</v>
      </c>
      <c r="B12" s="77" t="s">
        <v>150</v>
      </c>
    </row>
    <row r="13" spans="1:2" ht="18" customHeight="1" x14ac:dyDescent="0.25">
      <c r="B13" s="67"/>
    </row>
    <row r="14" spans="1:2" ht="6" customHeight="1" x14ac:dyDescent="0.25">
      <c r="A14" s="76"/>
      <c r="B14" s="67"/>
    </row>
    <row r="15" spans="1:2" ht="72" customHeight="1" x14ac:dyDescent="0.25">
      <c r="A15" s="65" t="s">
        <v>151</v>
      </c>
      <c r="B15" s="75" t="s">
        <v>152</v>
      </c>
    </row>
    <row r="16" spans="1:2" ht="18" customHeight="1" x14ac:dyDescent="0.25">
      <c r="B16" s="67"/>
    </row>
    <row r="17" spans="1:2" ht="6" customHeight="1" x14ac:dyDescent="0.25">
      <c r="A17" s="76"/>
      <c r="B17" s="67"/>
    </row>
    <row r="18" spans="1:2" ht="72" customHeight="1" x14ac:dyDescent="0.25">
      <c r="A18" s="65" t="s">
        <v>153</v>
      </c>
      <c r="B18" s="77" t="s">
        <v>154</v>
      </c>
    </row>
    <row r="19" spans="1:2" ht="18" customHeight="1" x14ac:dyDescent="0.25">
      <c r="B19" s="67"/>
    </row>
    <row r="20" spans="1:2" ht="6" customHeight="1" x14ac:dyDescent="0.25">
      <c r="A20" s="76"/>
      <c r="B20" s="67"/>
    </row>
    <row r="21" spans="1:2" ht="72" customHeight="1" x14ac:dyDescent="0.25">
      <c r="A21" s="65" t="s">
        <v>155</v>
      </c>
      <c r="B21" s="75" t="s">
        <v>156</v>
      </c>
    </row>
    <row r="22" spans="1:2" ht="18" customHeight="1" x14ac:dyDescent="0.25">
      <c r="B22" s="67"/>
    </row>
    <row r="23" spans="1:2" ht="6" customHeight="1" x14ac:dyDescent="0.25">
      <c r="A23" s="76"/>
      <c r="B23" s="67"/>
    </row>
  </sheetData>
  <mergeCells count="15">
    <mergeCell ref="A1:B1"/>
    <mergeCell ref="A17:B17"/>
    <mergeCell ref="A8:B8"/>
    <mergeCell ref="B21:B22"/>
    <mergeCell ref="B15:B16"/>
    <mergeCell ref="B3:B4"/>
    <mergeCell ref="A11:B11"/>
    <mergeCell ref="A23:B23"/>
    <mergeCell ref="A5:B5"/>
    <mergeCell ref="A14:B14"/>
    <mergeCell ref="B9:B10"/>
    <mergeCell ref="A20:B20"/>
    <mergeCell ref="B6:B7"/>
    <mergeCell ref="B12:B13"/>
    <mergeCell ref="B18:B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 Ejecutivo</vt:lpstr>
      <vt:lpstr>Curvas de Entrenamiento</vt:lpstr>
      <vt:lpstr>Métricas por Clase</vt:lpstr>
      <vt:lpstr>Matriz de Confusión</vt:lpstr>
      <vt:lpstr>Curvas F1 y PR</vt:lpstr>
      <vt:lpstr>Redacción para Tesis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MB QA</cp:lastModifiedBy>
  <dcterms:created xsi:type="dcterms:W3CDTF">2026-03-28T15:06:35Z</dcterms:created>
  <dcterms:modified xsi:type="dcterms:W3CDTF">2026-03-31T14:44:39Z</dcterms:modified>
</cp:coreProperties>
</file>